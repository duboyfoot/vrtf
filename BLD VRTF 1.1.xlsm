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 pro\Documents\Bld-Reseau\03 programmes\developpement\v rtf\"/>
    </mc:Choice>
  </mc:AlternateContent>
  <xr:revisionPtr revIDLastSave="0" documentId="13_ncr:1_{6E0C57B4-E28D-487F-B146-59C4E5428B12}" xr6:coauthVersionLast="47" xr6:coauthVersionMax="47" xr10:uidLastSave="{00000000-0000-0000-0000-000000000000}"/>
  <bookViews>
    <workbookView xWindow="-120" yWindow="-120" windowWidth="29040" windowHeight="15840" firstSheet="4" activeTab="10" xr2:uid="{00000000-000D-0000-FFFF-FFFF00000000}"/>
  </bookViews>
  <sheets>
    <sheet name="WData" sheetId="17" state="hidden" r:id="rId1"/>
    <sheet name="texte" sheetId="18" state="hidden" r:id="rId2"/>
    <sheet name="basdo_gaz" sheetId="3" state="hidden" r:id="rId3"/>
    <sheet name="Recuperator_old" sheetId="5" state="hidden" r:id="rId4"/>
    <sheet name="Options" sheetId="40" r:id="rId5"/>
    <sheet name="BisraCo" sheetId="35" r:id="rId6"/>
    <sheet name="BisraRo" sheetId="36" r:id="rId7"/>
    <sheet name="BisraCp" sheetId="37" r:id="rId8"/>
    <sheet name="Bisrah" sheetId="38" r:id="rId9"/>
    <sheet name="BisraEps" sheetId="39" r:id="rId10"/>
    <sheet name="Comburants" sheetId="33" r:id="rId11"/>
    <sheet name="Fuels" sheetId="34" r:id="rId12"/>
    <sheet name="Files" sheetId="32" r:id="rId13"/>
    <sheet name="Prop_comb" sheetId="30" r:id="rId14"/>
    <sheet name="Hottel" sheetId="31" r:id="rId15"/>
    <sheet name="Mesh" sheetId="24" r:id="rId16"/>
    <sheet name="Solver" sheetId="22" r:id="rId17"/>
    <sheet name="Combustion" sheetId="23" r:id="rId18"/>
    <sheet name="Furnace design" sheetId="6" r:id="rId19"/>
    <sheet name="ResultsHEAT" sheetId="41" r:id="rId20"/>
    <sheet name="Results" sheetId="7" r:id="rId21"/>
    <sheet name="Recuperator" sheetId="20" r:id="rId22"/>
    <sheet name="data" sheetId="16" state="hidden" r:id="rId23"/>
    <sheet name="Enthalpie" sheetId="12" state="hidden" r:id="rId24"/>
    <sheet name="ChaleurMassique" sheetId="8" state="hidden" r:id="rId25"/>
    <sheet name="Conductivité" sheetId="9" state="hidden" r:id="rId26"/>
    <sheet name="MasseVolumique" sheetId="10" state="hidden" r:id="rId27"/>
  </sheets>
  <functionGroups builtInGroupCount="19"/>
  <externalReferences>
    <externalReference r:id="rId28"/>
  </externalReferences>
  <definedNames>
    <definedName name="_xlnm._FilterDatabase" localSheetId="2" hidden="1">basdo_gaz!$B$10:$B$28</definedName>
    <definedName name="_xlnm._FilterDatabase" localSheetId="18" hidden="1">'Furnace design'!$Y$11:$Y$12</definedName>
    <definedName name="_xlnm._FilterDatabase" localSheetId="13" hidden="1">Prop_comb!$B$4:$B$27</definedName>
    <definedName name="_xlnm._FilterDatabase" localSheetId="21" hidden="1">Recuperator!$T$6:$T$7</definedName>
    <definedName name="CP" localSheetId="22">data!$O$13:$P$34</definedName>
    <definedName name="kw" localSheetId="22">data!$S$13:$T$43</definedName>
    <definedName name="kw" localSheetId="1">[1]data!$S$13:$T$43</definedName>
    <definedName name="kw" localSheetId="0">[1]data!$S$13:$T$43</definedName>
    <definedName name="VdC" localSheetId="22">data!$U$14:$W$39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2" i="6" l="1"/>
  <c r="Q21" i="6"/>
  <c r="P47" i="6" l="1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J42" i="41" l="1"/>
  <c r="E42" i="41"/>
  <c r="E29" i="41"/>
  <c r="E28" i="41"/>
  <c r="E30" i="41" s="1"/>
  <c r="E26" i="41"/>
  <c r="G43" i="41" l="1"/>
  <c r="D36" i="39" l="1"/>
  <c r="D34" i="39"/>
  <c r="B37" i="38"/>
  <c r="B38" i="38" s="1"/>
  <c r="B70" i="37"/>
  <c r="B69" i="37"/>
  <c r="B68" i="37"/>
  <c r="B67" i="37"/>
  <c r="B66" i="37"/>
  <c r="B65" i="37"/>
  <c r="B64" i="37"/>
  <c r="B63" i="37"/>
  <c r="B62" i="37"/>
  <c r="B61" i="37"/>
  <c r="B60" i="37"/>
  <c r="B59" i="37"/>
  <c r="B58" i="37"/>
  <c r="B57" i="37"/>
  <c r="B56" i="37"/>
  <c r="B55" i="37"/>
  <c r="B54" i="37"/>
  <c r="B53" i="37"/>
  <c r="B52" i="37"/>
  <c r="B51" i="37"/>
  <c r="B50" i="37"/>
  <c r="B49" i="37"/>
  <c r="B48" i="37"/>
  <c r="B47" i="37"/>
  <c r="B46" i="37"/>
  <c r="B45" i="37"/>
  <c r="B44" i="37"/>
  <c r="B43" i="37"/>
  <c r="B39" i="37"/>
  <c r="B38" i="37"/>
  <c r="B37" i="37"/>
  <c r="B36" i="37"/>
  <c r="W31" i="37"/>
  <c r="V31" i="37"/>
  <c r="U31" i="37"/>
  <c r="T31" i="37"/>
  <c r="S31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W31" i="35"/>
  <c r="V31" i="35"/>
  <c r="U31" i="35"/>
  <c r="T31" i="35"/>
  <c r="S31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G3" i="32" l="1"/>
  <c r="K4" i="30" l="1"/>
  <c r="L4" i="30"/>
  <c r="K5" i="30"/>
  <c r="L5" i="30"/>
  <c r="K6" i="30"/>
  <c r="L6" i="30"/>
  <c r="K7" i="30"/>
  <c r="L7" i="30"/>
  <c r="K8" i="30"/>
  <c r="L8" i="30"/>
  <c r="K9" i="30"/>
  <c r="L9" i="30"/>
  <c r="K10" i="30"/>
  <c r="L10" i="30"/>
  <c r="K11" i="30"/>
  <c r="L11" i="30"/>
  <c r="K12" i="30"/>
  <c r="L12" i="30"/>
  <c r="K13" i="30"/>
  <c r="L13" i="30"/>
  <c r="K14" i="30"/>
  <c r="L14" i="30"/>
  <c r="K15" i="30"/>
  <c r="L15" i="30"/>
  <c r="K16" i="30"/>
  <c r="L16" i="30"/>
  <c r="K17" i="30"/>
  <c r="L17" i="30"/>
  <c r="K18" i="30"/>
  <c r="L18" i="30"/>
  <c r="K19" i="30"/>
  <c r="L19" i="30"/>
  <c r="K20" i="30"/>
  <c r="L20" i="30"/>
  <c r="K21" i="30"/>
  <c r="L21" i="30"/>
  <c r="K22" i="30"/>
  <c r="L22" i="30"/>
  <c r="K23" i="30"/>
  <c r="L23" i="30"/>
  <c r="K24" i="30"/>
  <c r="L24" i="30"/>
  <c r="K25" i="30"/>
  <c r="L25" i="30"/>
  <c r="K26" i="30"/>
  <c r="L26" i="30"/>
  <c r="K27" i="30"/>
  <c r="L27" i="30"/>
  <c r="AH15" i="6" l="1"/>
  <c r="AH16" i="6"/>
  <c r="AH17" i="6"/>
  <c r="AH18" i="6"/>
  <c r="AH19" i="6"/>
  <c r="AH20" i="6"/>
  <c r="AH21" i="6"/>
  <c r="AH22" i="6"/>
  <c r="AH23" i="6"/>
  <c r="AH14" i="6"/>
  <c r="D12" i="20" l="1"/>
  <c r="H27" i="20" s="1"/>
  <c r="L28" i="20"/>
  <c r="B23" i="20"/>
  <c r="I32" i="20"/>
  <c r="M36" i="20" s="1"/>
  <c r="M37" i="20" s="1"/>
  <c r="M35" i="20"/>
  <c r="X37" i="7"/>
  <c r="X38" i="7" s="1"/>
  <c r="B16" i="20"/>
  <c r="B17" i="20"/>
  <c r="D7" i="20"/>
  <c r="D8" i="20"/>
  <c r="W37" i="7"/>
  <c r="W38" i="7" s="1"/>
  <c r="V37" i="7"/>
  <c r="V38" i="7" s="1"/>
  <c r="D15" i="7"/>
  <c r="I40" i="7" s="1"/>
  <c r="D16" i="7"/>
  <c r="I41" i="7" s="1"/>
  <c r="D17" i="7"/>
  <c r="I42" i="7" s="1"/>
  <c r="D18" i="7"/>
  <c r="I43" i="7" s="1"/>
  <c r="D19" i="7"/>
  <c r="I44" i="7" s="1"/>
  <c r="D20" i="7"/>
  <c r="I45" i="7" s="1"/>
  <c r="D21" i="7"/>
  <c r="I46" i="7" s="1"/>
  <c r="D23" i="7"/>
  <c r="I48" i="7" s="1"/>
  <c r="D24" i="7"/>
  <c r="I49" i="7" s="1"/>
  <c r="D25" i="7"/>
  <c r="I50" i="7" s="1"/>
  <c r="D26" i="7"/>
  <c r="I51" i="7" s="1"/>
  <c r="D27" i="7"/>
  <c r="I52" i="7" s="1"/>
  <c r="D28" i="7"/>
  <c r="I53" i="7" s="1"/>
  <c r="D29" i="7"/>
  <c r="I54" i="7" s="1"/>
  <c r="D30" i="7"/>
  <c r="I55" i="7" s="1"/>
  <c r="D31" i="7"/>
  <c r="I56" i="7" s="1"/>
  <c r="D32" i="7"/>
  <c r="I57" i="7" s="1"/>
  <c r="D33" i="7"/>
  <c r="I58" i="7" s="1"/>
  <c r="D34" i="7"/>
  <c r="I59" i="7" s="1"/>
  <c r="D35" i="7"/>
  <c r="I60" i="7" s="1"/>
  <c r="D36" i="7"/>
  <c r="I61" i="7" s="1"/>
  <c r="D37" i="7"/>
  <c r="I62" i="7" s="1"/>
  <c r="D38" i="7"/>
  <c r="I63" i="7" s="1"/>
  <c r="D39" i="7"/>
  <c r="I64" i="7" s="1"/>
  <c r="D40" i="7"/>
  <c r="I65" i="7" s="1"/>
  <c r="D41" i="7"/>
  <c r="I66" i="7" s="1"/>
  <c r="D42" i="7"/>
  <c r="I67" i="7" s="1"/>
  <c r="D43" i="7"/>
  <c r="I68" i="7" s="1"/>
  <c r="D44" i="7"/>
  <c r="I69" i="7" s="1"/>
  <c r="D45" i="7"/>
  <c r="I70" i="7" s="1"/>
  <c r="D46" i="7"/>
  <c r="I71" i="7" s="1"/>
  <c r="D47" i="7"/>
  <c r="I72" i="7" s="1"/>
  <c r="D48" i="7"/>
  <c r="I73" i="7" s="1"/>
  <c r="D49" i="7"/>
  <c r="I74" i="7" s="1"/>
  <c r="D50" i="7"/>
  <c r="I75" i="7" s="1"/>
  <c r="D51" i="7"/>
  <c r="I76" i="7" s="1"/>
  <c r="D52" i="7"/>
  <c r="I77" i="7" s="1"/>
  <c r="D53" i="7"/>
  <c r="I78" i="7" s="1"/>
  <c r="D54" i="7"/>
  <c r="I79" i="7" s="1"/>
  <c r="D55" i="7"/>
  <c r="I80" i="7" s="1"/>
  <c r="D56" i="7"/>
  <c r="I81" i="7" s="1"/>
  <c r="D57" i="7"/>
  <c r="I82" i="7" s="1"/>
  <c r="D58" i="7"/>
  <c r="I83" i="7" s="1"/>
  <c r="D59" i="7"/>
  <c r="I84" i="7" s="1"/>
  <c r="D60" i="7"/>
  <c r="I85" i="7" s="1"/>
  <c r="D61" i="7"/>
  <c r="I86" i="7" s="1"/>
  <c r="D62" i="7"/>
  <c r="I87" i="7" s="1"/>
  <c r="D63" i="7"/>
  <c r="I88" i="7" s="1"/>
  <c r="D64" i="7"/>
  <c r="I89" i="7" s="1"/>
  <c r="D22" i="7"/>
  <c r="I47" i="7" s="1"/>
  <c r="P47" i="7" s="1"/>
  <c r="Q47" i="7" s="1"/>
  <c r="L32" i="7"/>
  <c r="P27" i="7" s="1"/>
  <c r="L25" i="7"/>
  <c r="N43" i="20"/>
  <c r="D2" i="5"/>
  <c r="B15" i="20"/>
  <c r="I31" i="20"/>
  <c r="X48" i="20"/>
  <c r="X47" i="20"/>
  <c r="X46" i="20"/>
  <c r="X45" i="20"/>
  <c r="X44" i="20"/>
  <c r="X43" i="20"/>
  <c r="X42" i="20"/>
  <c r="X41" i="20"/>
  <c r="X40" i="20"/>
  <c r="B39" i="5"/>
  <c r="K44" i="20"/>
  <c r="B49" i="5"/>
  <c r="L11" i="20"/>
  <c r="O25" i="20"/>
  <c r="B12" i="5"/>
  <c r="B24" i="5"/>
  <c r="I33" i="5"/>
  <c r="D7" i="5"/>
  <c r="D65" i="7"/>
  <c r="H65" i="7" s="1"/>
  <c r="D66" i="7"/>
  <c r="I91" i="7" s="1"/>
  <c r="D67" i="7"/>
  <c r="I92" i="7" s="1"/>
  <c r="D68" i="7"/>
  <c r="I93" i="7" s="1"/>
  <c r="D69" i="7"/>
  <c r="I94" i="7" s="1"/>
  <c r="D70" i="7"/>
  <c r="I95" i="7" s="1"/>
  <c r="D71" i="7"/>
  <c r="I96" i="7" s="1"/>
  <c r="D72" i="7"/>
  <c r="I97" i="7" s="1"/>
  <c r="D73" i="7"/>
  <c r="I98" i="7" s="1"/>
  <c r="D74" i="7"/>
  <c r="I99" i="7" s="1"/>
  <c r="D75" i="7"/>
  <c r="I100" i="7" s="1"/>
  <c r="D76" i="7"/>
  <c r="I101" i="7" s="1"/>
  <c r="D77" i="7"/>
  <c r="I102" i="7" s="1"/>
  <c r="D78" i="7"/>
  <c r="I103" i="7" s="1"/>
  <c r="D79" i="7"/>
  <c r="I104" i="7" s="1"/>
  <c r="D80" i="7"/>
  <c r="I105" i="7" s="1"/>
  <c r="D81" i="7"/>
  <c r="I106" i="7" s="1"/>
  <c r="D82" i="7"/>
  <c r="I107" i="7" s="1"/>
  <c r="D83" i="7"/>
  <c r="I108" i="7" s="1"/>
  <c r="D84" i="7"/>
  <c r="I109" i="7" s="1"/>
  <c r="D85" i="7"/>
  <c r="I110" i="7" s="1"/>
  <c r="D86" i="7"/>
  <c r="I111" i="7" s="1"/>
  <c r="D87" i="7"/>
  <c r="I112" i="7" s="1"/>
  <c r="D88" i="7"/>
  <c r="I113" i="7" s="1"/>
  <c r="D89" i="7"/>
  <c r="I114" i="7" s="1"/>
  <c r="D90" i="7"/>
  <c r="I115" i="7" s="1"/>
  <c r="D91" i="7"/>
  <c r="I116" i="7" s="1"/>
  <c r="D92" i="7"/>
  <c r="I117" i="7" s="1"/>
  <c r="D93" i="7"/>
  <c r="I118" i="7" s="1"/>
  <c r="D94" i="7"/>
  <c r="I119" i="7" s="1"/>
  <c r="D95" i="7"/>
  <c r="I120" i="7" s="1"/>
  <c r="D14" i="7"/>
  <c r="H14" i="7" s="1"/>
  <c r="T66" i="7"/>
  <c r="T65" i="7"/>
  <c r="T64" i="7"/>
  <c r="T63" i="7"/>
  <c r="T62" i="7"/>
  <c r="T61" i="7"/>
  <c r="T60" i="7"/>
  <c r="T59" i="7"/>
  <c r="T58" i="7"/>
  <c r="T55" i="7"/>
  <c r="P29" i="7"/>
  <c r="E12" i="5"/>
  <c r="E13" i="5"/>
  <c r="T57" i="7"/>
  <c r="T56" i="7"/>
  <c r="T54" i="7"/>
  <c r="T53" i="7"/>
  <c r="T51" i="7"/>
  <c r="T52" i="7"/>
  <c r="L31" i="7"/>
  <c r="L28" i="7" s="1"/>
  <c r="P28" i="7" s="1"/>
  <c r="T40" i="7"/>
  <c r="T39" i="7"/>
  <c r="B27" i="5"/>
  <c r="B26" i="5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" i="12"/>
  <c r="B31" i="12"/>
  <c r="C31" i="12" s="1"/>
  <c r="J40" i="5"/>
  <c r="L30" i="5"/>
  <c r="H30" i="5"/>
  <c r="T39" i="5"/>
  <c r="T38" i="5"/>
  <c r="T50" i="7"/>
  <c r="T49" i="7"/>
  <c r="T48" i="7"/>
  <c r="T47" i="7"/>
  <c r="T46" i="7"/>
  <c r="T45" i="7"/>
  <c r="T44" i="7"/>
  <c r="T43" i="7"/>
  <c r="T42" i="7"/>
  <c r="T41" i="7"/>
  <c r="W31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B31" i="9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L26" i="7"/>
  <c r="J28" i="5"/>
  <c r="M22" i="5"/>
  <c r="I2" i="5"/>
  <c r="I19" i="5"/>
  <c r="H10" i="5"/>
  <c r="J10" i="5"/>
  <c r="T32" i="5"/>
  <c r="T33" i="5"/>
  <c r="T34" i="5"/>
  <c r="T35" i="5"/>
  <c r="T36" i="5"/>
  <c r="T37" i="5"/>
  <c r="T31" i="5"/>
  <c r="K15" i="3"/>
  <c r="K16" i="3"/>
  <c r="K17" i="3"/>
  <c r="J4" i="3"/>
  <c r="J5" i="3"/>
  <c r="J6" i="3"/>
  <c r="J7" i="3"/>
  <c r="J8" i="3"/>
  <c r="J26" i="3"/>
  <c r="J27" i="3"/>
  <c r="J22" i="3"/>
  <c r="J23" i="3"/>
  <c r="J24" i="3"/>
  <c r="J25" i="3"/>
  <c r="J11" i="3"/>
  <c r="J12" i="3"/>
  <c r="J13" i="3"/>
  <c r="J14" i="3"/>
  <c r="J15" i="3"/>
  <c r="J16" i="3"/>
  <c r="J17" i="3"/>
  <c r="J18" i="3"/>
  <c r="J19" i="3"/>
  <c r="J20" i="3"/>
  <c r="J21" i="3"/>
  <c r="J10" i="3"/>
  <c r="J9" i="3"/>
  <c r="K7" i="3"/>
  <c r="H7" i="3"/>
  <c r="K6" i="3"/>
  <c r="K5" i="3"/>
  <c r="K8" i="3"/>
  <c r="K9" i="3"/>
  <c r="K10" i="3"/>
  <c r="K11" i="3"/>
  <c r="K12" i="3"/>
  <c r="K13" i="3"/>
  <c r="K14" i="3"/>
  <c r="K18" i="3"/>
  <c r="K19" i="3"/>
  <c r="K20" i="3"/>
  <c r="K21" i="3"/>
  <c r="K22" i="3"/>
  <c r="K23" i="3"/>
  <c r="K24" i="3"/>
  <c r="K25" i="3"/>
  <c r="K26" i="3"/>
  <c r="K27" i="3"/>
  <c r="K4" i="3"/>
  <c r="U15" i="16"/>
  <c r="U16" i="16" s="1"/>
  <c r="U17" i="16" s="1"/>
  <c r="U18" i="16" s="1"/>
  <c r="U19" i="16" s="1"/>
  <c r="U20" i="16" s="1"/>
  <c r="U21" i="16" s="1"/>
  <c r="U22" i="16" s="1"/>
  <c r="U23" i="16" s="1"/>
  <c r="U24" i="16" s="1"/>
  <c r="U25" i="16" s="1"/>
  <c r="U26" i="16" s="1"/>
  <c r="U27" i="16" s="1"/>
  <c r="U28" i="16" s="1"/>
  <c r="U29" i="16" s="1"/>
  <c r="U30" i="16" s="1"/>
  <c r="C21" i="18"/>
  <c r="C56" i="18"/>
  <c r="C72" i="18"/>
  <c r="C68" i="18"/>
  <c r="C67" i="18"/>
  <c r="J67" i="18"/>
  <c r="C66" i="18"/>
  <c r="C58" i="18"/>
  <c r="J58" i="18" s="1"/>
  <c r="C52" i="18"/>
  <c r="C51" i="18"/>
  <c r="J51" i="18"/>
  <c r="C48" i="18"/>
  <c r="C46" i="18"/>
  <c r="C45" i="18"/>
  <c r="C44" i="18"/>
  <c r="C36" i="18"/>
  <c r="C33" i="18"/>
  <c r="C32" i="18"/>
  <c r="C31" i="18"/>
  <c r="C30" i="18"/>
  <c r="C23" i="18"/>
  <c r="J72" i="18"/>
  <c r="J68" i="18"/>
  <c r="J66" i="18"/>
  <c r="J63" i="18"/>
  <c r="J62" i="18"/>
  <c r="J60" i="18"/>
  <c r="J52" i="18"/>
  <c r="J50" i="18"/>
  <c r="J48" i="18"/>
  <c r="J46" i="18"/>
  <c r="J45" i="18"/>
  <c r="J44" i="18"/>
  <c r="J36" i="18"/>
  <c r="J33" i="18"/>
  <c r="J32" i="18"/>
  <c r="J31" i="18"/>
  <c r="J30" i="18"/>
  <c r="J29" i="18"/>
  <c r="J28" i="18"/>
  <c r="J24" i="18"/>
  <c r="J23" i="18"/>
  <c r="J22" i="18"/>
  <c r="J21" i="18"/>
  <c r="J20" i="18"/>
  <c r="J19" i="18"/>
  <c r="J18" i="18"/>
  <c r="J17" i="18"/>
  <c r="J16" i="18"/>
  <c r="J15" i="18"/>
  <c r="A5" i="17"/>
  <c r="A1" i="17"/>
  <c r="H21" i="7" l="1"/>
  <c r="H24" i="7"/>
  <c r="H36" i="7"/>
  <c r="I90" i="7"/>
  <c r="P90" i="7" s="1"/>
  <c r="H28" i="7"/>
  <c r="H32" i="7"/>
  <c r="H15" i="7"/>
  <c r="I39" i="7"/>
  <c r="P39" i="7" s="1"/>
  <c r="Q39" i="7" s="1"/>
  <c r="H23" i="7"/>
  <c r="H40" i="7"/>
  <c r="H38" i="7"/>
  <c r="H17" i="7"/>
  <c r="H34" i="7"/>
  <c r="H26" i="7"/>
  <c r="H19" i="7"/>
  <c r="H30" i="7"/>
  <c r="H18" i="7"/>
  <c r="H62" i="7"/>
  <c r="H60" i="7"/>
  <c r="H58" i="7"/>
  <c r="H56" i="7"/>
  <c r="H52" i="7"/>
  <c r="H50" i="7"/>
  <c r="H46" i="7"/>
  <c r="H44" i="7"/>
  <c r="H42" i="7"/>
  <c r="H25" i="7"/>
  <c r="H20" i="7"/>
  <c r="H16" i="7"/>
  <c r="H54" i="7"/>
  <c r="B25" i="5"/>
  <c r="B31" i="5" s="1"/>
  <c r="P30" i="7"/>
  <c r="H64" i="7"/>
  <c r="H48" i="7"/>
  <c r="B51" i="5"/>
  <c r="B53" i="5" s="1"/>
  <c r="L33" i="7"/>
  <c r="L34" i="7" s="1"/>
  <c r="B13" i="5"/>
  <c r="B17" i="5" s="1"/>
  <c r="P88" i="7"/>
  <c r="Q88" i="7"/>
  <c r="P86" i="7"/>
  <c r="Q86" i="7"/>
  <c r="P84" i="7"/>
  <c r="Q84" i="7"/>
  <c r="P82" i="7"/>
  <c r="Q82" i="7"/>
  <c r="P80" i="7"/>
  <c r="Q80" i="7"/>
  <c r="P78" i="7"/>
  <c r="Q78" i="7"/>
  <c r="P76" i="7"/>
  <c r="Q76" i="7"/>
  <c r="P74" i="7"/>
  <c r="Q74" i="7"/>
  <c r="P72" i="7"/>
  <c r="Q72" i="7" s="1"/>
  <c r="P70" i="7"/>
  <c r="Q70" i="7" s="1"/>
  <c r="P68" i="7"/>
  <c r="Q68" i="7" s="1"/>
  <c r="P66" i="7"/>
  <c r="Q66" i="7" s="1"/>
  <c r="P64" i="7"/>
  <c r="Q64" i="7" s="1"/>
  <c r="P62" i="7"/>
  <c r="Q62" i="7" s="1"/>
  <c r="P60" i="7"/>
  <c r="Q60" i="7" s="1"/>
  <c r="P58" i="7"/>
  <c r="Q58" i="7" s="1"/>
  <c r="P56" i="7"/>
  <c r="Q56" i="7" s="1"/>
  <c r="P54" i="7"/>
  <c r="Q54" i="7" s="1"/>
  <c r="P52" i="7"/>
  <c r="Q52" i="7" s="1"/>
  <c r="P50" i="7"/>
  <c r="Q50" i="7" s="1"/>
  <c r="P48" i="7"/>
  <c r="Q48" i="7" s="1"/>
  <c r="P45" i="7"/>
  <c r="Q45" i="7" s="1"/>
  <c r="P43" i="7"/>
  <c r="Q43" i="7" s="1"/>
  <c r="P41" i="7"/>
  <c r="Q41" i="7" s="1"/>
  <c r="J21" i="20"/>
  <c r="H29" i="20"/>
  <c r="L27" i="20"/>
  <c r="Q89" i="7"/>
  <c r="P89" i="7"/>
  <c r="P87" i="7"/>
  <c r="Q87" i="7"/>
  <c r="Q85" i="7"/>
  <c r="P85" i="7"/>
  <c r="P83" i="7"/>
  <c r="Q83" i="7"/>
  <c r="Q81" i="7"/>
  <c r="P81" i="7"/>
  <c r="Q79" i="7"/>
  <c r="P79" i="7"/>
  <c r="P77" i="7"/>
  <c r="Q77" i="7"/>
  <c r="Q75" i="7"/>
  <c r="P75" i="7"/>
  <c r="P73" i="7"/>
  <c r="Q73" i="7"/>
  <c r="P71" i="7"/>
  <c r="Q71" i="7" s="1"/>
  <c r="P69" i="7"/>
  <c r="Q69" i="7" s="1"/>
  <c r="P67" i="7"/>
  <c r="Q67" i="7" s="1"/>
  <c r="P65" i="7"/>
  <c r="Q65" i="7" s="1"/>
  <c r="P63" i="7"/>
  <c r="Q63" i="7" s="1"/>
  <c r="P61" i="7"/>
  <c r="Q61" i="7" s="1"/>
  <c r="P59" i="7"/>
  <c r="Q59" i="7" s="1"/>
  <c r="P57" i="7"/>
  <c r="Q57" i="7" s="1"/>
  <c r="P55" i="7"/>
  <c r="Q55" i="7" s="1"/>
  <c r="P53" i="7"/>
  <c r="Q53" i="7" s="1"/>
  <c r="P51" i="7"/>
  <c r="Q51" i="7" s="1"/>
  <c r="P49" i="7"/>
  <c r="Q49" i="7" s="1"/>
  <c r="P46" i="7"/>
  <c r="Q46" i="7" s="1"/>
  <c r="P44" i="7"/>
  <c r="Q44" i="7" s="1"/>
  <c r="P42" i="7"/>
  <c r="Q42" i="7" s="1"/>
  <c r="P40" i="7"/>
  <c r="Q40" i="7" s="1"/>
  <c r="H22" i="7"/>
  <c r="H63" i="7"/>
  <c r="H61" i="7"/>
  <c r="H59" i="7"/>
  <c r="H57" i="7"/>
  <c r="H55" i="7"/>
  <c r="H53" i="7"/>
  <c r="H51" i="7"/>
  <c r="H49" i="7"/>
  <c r="H47" i="7"/>
  <c r="H45" i="7"/>
  <c r="H43" i="7"/>
  <c r="H41" i="7"/>
  <c r="H39" i="7"/>
  <c r="H37" i="7"/>
  <c r="H35" i="7"/>
  <c r="H33" i="7"/>
  <c r="H31" i="7"/>
  <c r="H29" i="7"/>
  <c r="H27" i="7"/>
  <c r="U31" i="16"/>
  <c r="W30" i="16"/>
  <c r="Q90" i="7" l="1"/>
  <c r="L29" i="20"/>
  <c r="L10" i="20"/>
  <c r="L12" i="20" s="1"/>
  <c r="U32" i="16"/>
  <c r="W31" i="16"/>
  <c r="L16" i="20" l="1"/>
  <c r="L14" i="20"/>
  <c r="U33" i="16"/>
  <c r="W32" i="16"/>
  <c r="U34" i="16" l="1"/>
  <c r="U35" i="16" s="1"/>
  <c r="W33" i="16"/>
  <c r="W35" i="16" l="1"/>
  <c r="U36" i="16"/>
  <c r="V35" i="16"/>
  <c r="U37" i="16" l="1"/>
  <c r="V36" i="16"/>
  <c r="W36" i="16"/>
  <c r="W37" i="16" l="1"/>
  <c r="U38" i="16"/>
  <c r="V37" i="16"/>
  <c r="U39" i="16" l="1"/>
  <c r="W38" i="16"/>
  <c r="V38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Propriétaire</author>
  </authors>
  <commentList>
    <comment ref="K4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l'IFRF, prenant en compte la dissociation à haute température</t>
        </r>
      </text>
    </comment>
    <comment ref="K5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l'IFRF, prenant en compte la dissociation à haute température</t>
        </r>
      </text>
    </comment>
    <comment ref="K6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l'IFRF, prenant en compte la dissociation à haute température</t>
        </r>
      </text>
    </comment>
    <comment ref="K7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l'IFRF, prenant en compte la dissociation à haute température</t>
        </r>
      </text>
    </comment>
    <comment ref="K8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l'Aide Mémoire du Thermicien</t>
        </r>
      </text>
    </comment>
    <comment ref="K9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l'IFRF, prenant en compte la dissociation à haute température</t>
        </r>
      </text>
    </comment>
    <comment ref="K10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l'IFRF, prenant en compte la dissociation à haute température</t>
        </r>
      </text>
    </comment>
    <comment ref="K11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l'Aide Mémoire du Thermicien</t>
        </r>
      </text>
    </comment>
    <comment ref="K12" authorId="0" shapeId="0" xr:uid="{00000000-0006-0000-0400-000009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l'Aide Mémoire du Thermicien</t>
        </r>
      </text>
    </comment>
    <comment ref="K13" authorId="0" shapeId="0" xr:uid="{00000000-0006-0000-0400-00000A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l'Aide Mémoire du Thermicien</t>
        </r>
      </text>
    </comment>
    <comment ref="K14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l'Aide Mémoire du Thermicien</t>
        </r>
      </text>
    </comment>
    <comment ref="K15" authorId="0" shapeId="0" xr:uid="{00000000-0006-0000-0400-00000C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Pas de données</t>
        </r>
      </text>
    </comment>
    <comment ref="K16" authorId="0" shapeId="0" xr:uid="{00000000-0006-0000-0400-00000D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Pas de données</t>
        </r>
      </text>
    </comment>
    <comment ref="K17" authorId="0" shapeId="0" xr:uid="{00000000-0006-0000-0400-00000E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Pas de données</t>
        </r>
      </text>
    </comment>
    <comment ref="K18" authorId="0" shapeId="0" xr:uid="{00000000-0006-0000-0400-00000F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Pas de données</t>
        </r>
      </text>
    </comment>
    <comment ref="K19" authorId="0" shapeId="0" xr:uid="{00000000-0006-0000-0400-000010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l'Aide Mémoire du Thermicien</t>
        </r>
      </text>
    </comment>
    <comment ref="K20" authorId="0" shapeId="0" xr:uid="{00000000-0006-0000-0400-000011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l'Aide Mémoire du Thermicien</t>
        </r>
      </text>
    </comment>
    <comment ref="K21" authorId="0" shapeId="0" xr:uid="{00000000-0006-0000-0400-000012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Pas de données</t>
        </r>
      </text>
    </comment>
    <comment ref="K22" authorId="0" shapeId="0" xr:uid="{00000000-0006-0000-0400-000013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Pas de données</t>
        </r>
      </text>
    </comment>
    <comment ref="K23" authorId="0" shapeId="0" xr:uid="{00000000-0006-0000-0400-000014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Pas de données</t>
        </r>
      </text>
    </comment>
    <comment ref="K24" authorId="0" shapeId="0" xr:uid="{00000000-0006-0000-0400-000015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Pas de données</t>
        </r>
      </text>
    </comment>
    <comment ref="K25" authorId="0" shapeId="0" xr:uid="{00000000-0006-0000-0400-000016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Pas de données</t>
        </r>
      </text>
    </comment>
    <comment ref="K26" authorId="0" shapeId="0" xr:uid="{00000000-0006-0000-0400-000017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l'IFRF, prenant en compte la dissociation à haute température</t>
        </r>
      </text>
    </comment>
    <comment ref="K27" authorId="0" shapeId="0" xr:uid="{00000000-0006-0000-0400-000018000000}">
      <text>
        <r>
          <rPr>
            <b/>
            <sz val="8"/>
            <color indexed="81"/>
            <rFont val="Tahoma"/>
            <family val="2"/>
          </rPr>
          <t>Propriétaire:</t>
        </r>
        <r>
          <rPr>
            <sz val="8"/>
            <color indexed="81"/>
            <rFont val="Tahoma"/>
            <family val="2"/>
          </rPr>
          <t xml:space="preserve">
Données de l'Aide Mémoire du Thermicien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N12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 xml:space="preserve"> Zone number must be even</t>
        </r>
      </text>
    </comment>
    <comment ref="N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mid-height of the furnace</t>
        </r>
      </text>
    </comment>
    <comment ref="D31" authorId="0" shapeId="0" xr:uid="{2A471576-136B-4713-8BEA-BD5C616EB06C}">
      <text>
        <r>
          <rPr>
            <b/>
            <sz val="8"/>
            <color indexed="81"/>
            <rFont val="Tahoma"/>
            <family val="2"/>
          </rPr>
          <t xml:space="preserve">Tubes shape:
I tube
U tube or P tube
W </t>
        </r>
      </text>
    </comment>
    <comment ref="I31" authorId="0" shapeId="0" xr:uid="{6A6F73CB-B678-43D2-842B-73334479E942}">
      <text>
        <r>
          <rPr>
            <b/>
            <sz val="8"/>
            <color indexed="81"/>
            <rFont val="Tahoma"/>
            <family val="2"/>
          </rPr>
          <t>distance between the axe of the first tube and the zone origin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1" authorId="0" shapeId="0" xr:uid="{217C869E-3C6A-4EFD-BD77-4D80FE6DB42A}">
      <text>
        <r>
          <rPr>
            <b/>
            <sz val="8"/>
            <color indexed="81"/>
            <rFont val="Tahoma"/>
            <family val="2"/>
          </rPr>
          <t>Automatic calculation of the tubes pitch</t>
        </r>
      </text>
    </comment>
    <comment ref="L31" authorId="0" shapeId="0" xr:uid="{B3F0AB02-C88D-412E-9CB1-E4EA53B8CAB5}">
      <text>
        <r>
          <rPr>
            <b/>
            <sz val="8"/>
            <color indexed="81"/>
            <rFont val="Tahoma"/>
            <family val="2"/>
          </rPr>
          <t xml:space="preserve">This must an integer  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dabdo2</author>
  </authors>
  <commentList>
    <comment ref="E12" authorId="0" shapeId="0" xr:uid="{00000000-0006-0000-0700-000001000000}">
      <text>
        <r>
          <rPr>
            <b/>
            <sz val="10"/>
            <color indexed="81"/>
            <rFont val="Tahoma"/>
            <family val="2"/>
          </rPr>
          <t>RTF:</t>
        </r>
        <r>
          <rPr>
            <sz val="10"/>
            <color indexed="81"/>
            <rFont val="Tahoma"/>
            <family val="2"/>
          </rPr>
          <t xml:space="preserve">
Total useful power (strip+wall)
</t>
        </r>
      </text>
    </comment>
    <comment ref="G12" authorId="0" shapeId="0" xr:uid="{00000000-0006-0000-0700-000002000000}">
      <text>
        <r>
          <rPr>
            <b/>
            <sz val="10"/>
            <color indexed="81"/>
            <rFont val="Tahoma"/>
            <family val="2"/>
          </rPr>
          <t xml:space="preserve">RTF:
</t>
        </r>
        <r>
          <rPr>
            <sz val="10"/>
            <color indexed="81"/>
            <rFont val="Tahoma"/>
            <family val="2"/>
          </rPr>
          <t>Total installed power</t>
        </r>
        <r>
          <rPr>
            <sz val="10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<sst xmlns="http://schemas.openxmlformats.org/spreadsheetml/2006/main" count="1572" uniqueCount="975">
  <si>
    <t>Oxygène</t>
  </si>
  <si>
    <t>O2</t>
  </si>
  <si>
    <t>Dioxyde de carbone</t>
  </si>
  <si>
    <t>CO2</t>
  </si>
  <si>
    <t>Vapeur d'eau</t>
  </si>
  <si>
    <t>H2O</t>
  </si>
  <si>
    <t>Dioxyde de soufre</t>
  </si>
  <si>
    <t>SO2</t>
  </si>
  <si>
    <t>Hydrogène</t>
  </si>
  <si>
    <t>H2</t>
  </si>
  <si>
    <t>Méthane</t>
  </si>
  <si>
    <t>CH4</t>
  </si>
  <si>
    <t>Ethane</t>
  </si>
  <si>
    <t>C2H6</t>
  </si>
  <si>
    <t>Propane</t>
  </si>
  <si>
    <t>C3H8</t>
  </si>
  <si>
    <t>Butane</t>
  </si>
  <si>
    <t>C4H10</t>
  </si>
  <si>
    <t>Pentane</t>
  </si>
  <si>
    <t>C5H12</t>
  </si>
  <si>
    <t>Hexane</t>
  </si>
  <si>
    <t>C6H14</t>
  </si>
  <si>
    <t>Heptane</t>
  </si>
  <si>
    <t>C7H16</t>
  </si>
  <si>
    <t>Octane</t>
  </si>
  <si>
    <t>C8H18</t>
  </si>
  <si>
    <t>Acéthylène</t>
  </si>
  <si>
    <t>C2H2</t>
  </si>
  <si>
    <t>Ethylène</t>
  </si>
  <si>
    <t>C2H4</t>
  </si>
  <si>
    <t>Propylène</t>
  </si>
  <si>
    <t>C3H6</t>
  </si>
  <si>
    <t>Butène</t>
  </si>
  <si>
    <t>C4H8</t>
  </si>
  <si>
    <t>Pentène</t>
  </si>
  <si>
    <t>C5H10</t>
  </si>
  <si>
    <t>Hexène</t>
  </si>
  <si>
    <t>C6H12</t>
  </si>
  <si>
    <t>Benzène</t>
  </si>
  <si>
    <t>C6H6</t>
  </si>
  <si>
    <t>Toluène</t>
  </si>
  <si>
    <t>C7H8</t>
  </si>
  <si>
    <t>Monoxyde de carbone</t>
  </si>
  <si>
    <t>CO</t>
  </si>
  <si>
    <t>Sulfure d'hydrogène</t>
  </si>
  <si>
    <t>H2S</t>
  </si>
  <si>
    <t>Caractéristiques des gaz élémentaires</t>
  </si>
  <si>
    <t>NOM</t>
  </si>
  <si>
    <t>FORMULE</t>
  </si>
  <si>
    <t>NOMBRE ATOMES C</t>
  </si>
  <si>
    <t>NOMBRE ATOMES H</t>
  </si>
  <si>
    <t>NOMBRE ATOMES O</t>
  </si>
  <si>
    <t>NOMBRE ATOMES N</t>
  </si>
  <si>
    <t>NOMBRE ATOMES S</t>
  </si>
  <si>
    <t>MASSE MOLAIRE</t>
  </si>
  <si>
    <t>[g/mol]</t>
  </si>
  <si>
    <t>ENTHALPIE STD FORMATION</t>
  </si>
  <si>
    <t>[J/kmol] à 25°C et 1 atm</t>
  </si>
  <si>
    <t>PCI</t>
  </si>
  <si>
    <t>CHALEUR MASSIQUE</t>
  </si>
  <si>
    <t>a</t>
  </si>
  <si>
    <t xml:space="preserve"> +bT</t>
  </si>
  <si>
    <t xml:space="preserve"> + cT2</t>
  </si>
  <si>
    <t xml:space="preserve"> +dT3</t>
  </si>
  <si>
    <t xml:space="preserve"> +eT4</t>
  </si>
  <si>
    <t xml:space="preserve"> +fT5</t>
  </si>
  <si>
    <t xml:space="preserve"> +gT6</t>
  </si>
  <si>
    <t>Azote</t>
  </si>
  <si>
    <t>N2</t>
  </si>
  <si>
    <t>Coefficients des fonctions polynomiales</t>
  </si>
  <si>
    <t>kcal/kg</t>
  </si>
  <si>
    <t>Masse volumique</t>
  </si>
  <si>
    <t>kg/s</t>
  </si>
  <si>
    <t>Nm3/h</t>
  </si>
  <si>
    <t>kW</t>
  </si>
  <si>
    <t>°C</t>
  </si>
  <si>
    <t>%</t>
  </si>
  <si>
    <t>T [K]</t>
  </si>
  <si>
    <t>BISRA 01</t>
  </si>
  <si>
    <t>T(°C)</t>
  </si>
  <si>
    <t>STRIP</t>
  </si>
  <si>
    <t>HNX</t>
  </si>
  <si>
    <t>FLUE GAS</t>
  </si>
  <si>
    <t>aT2</t>
  </si>
  <si>
    <t>bT</t>
  </si>
  <si>
    <t>Type d'acier</t>
  </si>
  <si>
    <t>Enthalpie coeff A</t>
  </si>
  <si>
    <t>Enthalpie coeff B</t>
  </si>
  <si>
    <t>Enthalpie coeff C</t>
  </si>
  <si>
    <t>Enthalpie coeff D</t>
  </si>
  <si>
    <t>BISRA 02</t>
  </si>
  <si>
    <t>BISRA 03</t>
  </si>
  <si>
    <t>BISRA 04</t>
  </si>
  <si>
    <t>BISRA 05</t>
  </si>
  <si>
    <t>BISRA 06</t>
  </si>
  <si>
    <t>BISRA 07</t>
  </si>
  <si>
    <t>BISRA 08</t>
  </si>
  <si>
    <t>BISRA 09</t>
  </si>
  <si>
    <t>BISRA 10</t>
  </si>
  <si>
    <t>BISRA 11</t>
  </si>
  <si>
    <t>BISRA 12</t>
  </si>
  <si>
    <t>BISRA 13</t>
  </si>
  <si>
    <t>BISRA 14</t>
  </si>
  <si>
    <t>BISRA 15</t>
  </si>
  <si>
    <t>BISRA 16</t>
  </si>
  <si>
    <t>BISRA 17</t>
  </si>
  <si>
    <t>BISRA 18</t>
  </si>
  <si>
    <t>BISRA 19</t>
  </si>
  <si>
    <t>BISRA 20</t>
  </si>
  <si>
    <t>BISRA 21</t>
  </si>
  <si>
    <t>BISRA 22</t>
  </si>
  <si>
    <t>Type acier</t>
  </si>
  <si>
    <t>Flux [W]</t>
  </si>
  <si>
    <t>Tonnage [T/h]</t>
  </si>
  <si>
    <t>Tstrip_in [°C]</t>
  </si>
  <si>
    <t>Tsrip_out [°C]</t>
  </si>
  <si>
    <t>Rendement echangeur</t>
  </si>
  <si>
    <t>c</t>
  </si>
  <si>
    <t>D_fumee [Nm3/h]</t>
  </si>
  <si>
    <t>Masse Vol. à 0°C [kg/m3]</t>
  </si>
  <si>
    <t>Thnx_in [°C]</t>
  </si>
  <si>
    <t>Thnx_out [°C]</t>
  </si>
  <si>
    <t>VERTICAL RADIANT TUBES FURNACE</t>
  </si>
  <si>
    <t>U</t>
  </si>
  <si>
    <t>W</t>
  </si>
  <si>
    <t>Production :</t>
  </si>
  <si>
    <t>[t/h]</t>
  </si>
  <si>
    <t>ZONE</t>
  </si>
  <si>
    <t>Rendement</t>
  </si>
  <si>
    <t>Tubes</t>
  </si>
  <si>
    <t>------------------------</t>
  </si>
  <si>
    <t>Chaleur massique [J/kg.K]</t>
  </si>
  <si>
    <t>Conductivité thermique [W/m.K]</t>
  </si>
  <si>
    <t>Masse volumique [kg/m3]</t>
  </si>
  <si>
    <t>Bilan Hnx</t>
  </si>
  <si>
    <t>HOT WATER</t>
  </si>
  <si>
    <t>Tf_entry [°C]</t>
  </si>
  <si>
    <t>Tf_exit [°C]</t>
  </si>
  <si>
    <t>T_in water [°C]</t>
  </si>
  <si>
    <t>T_out water [°C]</t>
  </si>
  <si>
    <t>BILAN Fumee</t>
  </si>
  <si>
    <t>Cp eau [J/kg.K]</t>
  </si>
  <si>
    <t>Cp</t>
  </si>
  <si>
    <t>Débit [Nm3/h]</t>
  </si>
  <si>
    <t xml:space="preserve">Exhaust </t>
  </si>
  <si>
    <t xml:space="preserve">Bilan exhaust </t>
  </si>
  <si>
    <t>Strip</t>
  </si>
  <si>
    <t>type of steel (1 = carbon, 2 = stainless steel)</t>
  </si>
  <si>
    <t>number of hole or slot calculated by face</t>
  </si>
  <si>
    <t>H2 percentage (%)</t>
  </si>
  <si>
    <t>N2H2 volumiq weigth (kg/m3)</t>
  </si>
  <si>
    <t>N2H2 heat specific</t>
  </si>
  <si>
    <t>N2H2 thermal conductivity</t>
  </si>
  <si>
    <t>N2H2 dynamic viscosity</t>
  </si>
  <si>
    <t>convection coefficient  (W/m²/°C)</t>
  </si>
  <si>
    <t>number of blower per jet unit</t>
  </si>
  <si>
    <t>volumic weight of suction N2H2</t>
  </si>
  <si>
    <t>pressure lost coefficient at the hole</t>
  </si>
  <si>
    <t>blower efficiency</t>
  </si>
  <si>
    <t>type of blowing (1 = hole, 2 = slot)</t>
  </si>
  <si>
    <t>enthalpie</t>
  </si>
  <si>
    <t>convection</t>
  </si>
  <si>
    <t>Rayonnement</t>
  </si>
  <si>
    <t>Gas flow</t>
  </si>
  <si>
    <t>D_hnx[Nm3/h]</t>
  </si>
  <si>
    <t>Fume flow</t>
  </si>
  <si>
    <t>A</t>
  </si>
  <si>
    <t>Remained</t>
  </si>
  <si>
    <t>Power</t>
  </si>
  <si>
    <t>T_Fume [°C]</t>
  </si>
  <si>
    <t>BY SECTION</t>
  </si>
  <si>
    <t>BY TUBE</t>
  </si>
  <si>
    <t>nombre de caisson</t>
  </si>
  <si>
    <t>1 = carbone, 2 = Inox</t>
  </si>
  <si>
    <t>trou = 1,    fente = 2</t>
  </si>
  <si>
    <t>avec rayonnement = 1, sinon =  0</t>
  </si>
  <si>
    <t>calcul auto nombre de trous</t>
  </si>
  <si>
    <t>Vitesse ligne (m/mn)</t>
  </si>
  <si>
    <t>largeur bande (mm)</t>
  </si>
  <si>
    <t>épaisseur bande (mm)</t>
  </si>
  <si>
    <t>distance buse bande (Z) (mm)</t>
  </si>
  <si>
    <t>maillage (X)  (mm)</t>
  </si>
  <si>
    <t>diametre des trous  (mm) ou  largeur des fentes</t>
  </si>
  <si>
    <t>Nombre de trous/fente calculé/face</t>
  </si>
  <si>
    <t>Nombre de trous retenu/face</t>
  </si>
  <si>
    <t>largeur de soufflage  (mm)</t>
  </si>
  <si>
    <t>longueur de soufflage  (mm)</t>
  </si>
  <si>
    <t>vitesse de soufflage  (m/s)</t>
  </si>
  <si>
    <t>température de soufflage (°C)</t>
  </si>
  <si>
    <t>%H2</t>
  </si>
  <si>
    <t>émissivité bande</t>
  </si>
  <si>
    <t>largeur four (rayonnant) mm</t>
  </si>
  <si>
    <t>hauteur four (rayonnant) mm</t>
  </si>
  <si>
    <t>temperature externe</t>
  </si>
  <si>
    <t>pente °C/S</t>
  </si>
  <si>
    <t>Température bande entrée (°C)</t>
  </si>
  <si>
    <t>température de sortie (°C)</t>
  </si>
  <si>
    <t>tonnage (T/h)</t>
  </si>
  <si>
    <t>masse volumique  mélange (Kg/m3)</t>
  </si>
  <si>
    <t>chaleur spécifique mélange (</t>
  </si>
  <si>
    <t>conductivité thermique mélange</t>
  </si>
  <si>
    <t>viscosité dynamique mélange</t>
  </si>
  <si>
    <t>coefficient de convection  (W/m²/°C)</t>
  </si>
  <si>
    <t>chaleur perdue par la bande convection (Kw)</t>
  </si>
  <si>
    <t>chaleur perdue par la bande rayonnement (Kw)</t>
  </si>
  <si>
    <t>chaleur perdue par la bande pertes (Kw)</t>
  </si>
  <si>
    <t>chaleur perdue par la bande total (Kw)</t>
  </si>
  <si>
    <t>Nb/ventilateur/nappe</t>
  </si>
  <si>
    <t>debit gaz/ ventilateur m3/h</t>
  </si>
  <si>
    <t>Température retour gaz</t>
  </si>
  <si>
    <t>masse volumique gaz retour</t>
  </si>
  <si>
    <t>perte charge circuit dapa</t>
  </si>
  <si>
    <t>coef perte charge trou</t>
  </si>
  <si>
    <t>pression ventilateur dapa</t>
  </si>
  <si>
    <t>rendement ventilateur</t>
  </si>
  <si>
    <t>puissance électrique/ventilateur kw</t>
  </si>
  <si>
    <t>température entree eau</t>
  </si>
  <si>
    <t>debit eau</t>
  </si>
  <si>
    <t>température sortie eau</t>
  </si>
  <si>
    <t>surface échangeur * coef échange</t>
  </si>
  <si>
    <t>Production characteristic</t>
  </si>
  <si>
    <t>Output by meter</t>
  </si>
  <si>
    <t>T/h</t>
  </si>
  <si>
    <t>Line speed</t>
  </si>
  <si>
    <t>m/mn</t>
  </si>
  <si>
    <t>Maximum strip width</t>
  </si>
  <si>
    <t>mm</t>
  </si>
  <si>
    <t>JET</t>
  </si>
  <si>
    <t>Blowing geometry</t>
  </si>
  <si>
    <t>Strip/hole distance</t>
  </si>
  <si>
    <t>Step hole</t>
  </si>
  <si>
    <t>Hole diameter</t>
  </si>
  <si>
    <t>Strip Temperature characteristic</t>
  </si>
  <si>
    <t>Entry temperature</t>
  </si>
  <si>
    <t>Exit temperature</t>
  </si>
  <si>
    <t>Strip cooling rate</t>
  </si>
  <si>
    <t>°C/s</t>
  </si>
  <si>
    <t>Result</t>
  </si>
  <si>
    <t>Total heat</t>
  </si>
  <si>
    <t>Kw</t>
  </si>
  <si>
    <t>Hole Pressure</t>
  </si>
  <si>
    <t>daPa</t>
  </si>
  <si>
    <t>Blowing speed</t>
  </si>
  <si>
    <t>m/s</t>
  </si>
  <si>
    <t>Blowing lenght</t>
  </si>
  <si>
    <t>m</t>
  </si>
  <si>
    <t>Heat exchange coefficient</t>
  </si>
  <si>
    <t>W/m²/°C</t>
  </si>
  <si>
    <t>Duct characteristic</t>
  </si>
  <si>
    <t>Vertical tube number</t>
  </si>
  <si>
    <t>by face</t>
  </si>
  <si>
    <t>Horizontal blowing tube number</t>
  </si>
  <si>
    <t>on width</t>
  </si>
  <si>
    <t>in total</t>
  </si>
  <si>
    <t>Fan characteristic</t>
  </si>
  <si>
    <t>Number of fan</t>
  </si>
  <si>
    <t>Blowing flowrate</t>
  </si>
  <si>
    <t>Installed flowrate</t>
  </si>
  <si>
    <t>Security coefficient</t>
  </si>
  <si>
    <t>Circuit pressure drop</t>
  </si>
  <si>
    <t>Total pressure</t>
  </si>
  <si>
    <t>Installed pressure</t>
  </si>
  <si>
    <t>Motor characteristic</t>
  </si>
  <si>
    <t>Efficiency (blower+motor)</t>
  </si>
  <si>
    <t>Altitude</t>
  </si>
  <si>
    <t>Coefficient altitude</t>
  </si>
  <si>
    <t>Power consumption</t>
  </si>
  <si>
    <t>Heat exchanger characteristic</t>
  </si>
  <si>
    <t>Flowrate</t>
  </si>
  <si>
    <t>Gas temperature entry</t>
  </si>
  <si>
    <t>Gas temperature exit</t>
  </si>
  <si>
    <t>H2 content</t>
  </si>
  <si>
    <t>Delta water temperature</t>
  </si>
  <si>
    <t>Water flow</t>
  </si>
  <si>
    <r>
      <t>m</t>
    </r>
    <r>
      <rPr>
        <vertAlign val="superscript"/>
        <sz val="12"/>
        <rFont val="Arial"/>
        <family val="2"/>
      </rPr>
      <t>3</t>
    </r>
    <r>
      <rPr>
        <sz val="12"/>
        <rFont val="Arial"/>
        <family val="2"/>
      </rPr>
      <t>/h</t>
    </r>
  </si>
  <si>
    <r>
      <t>M</t>
    </r>
    <r>
      <rPr>
        <vertAlign val="superscript"/>
        <sz val="12"/>
        <rFont val="Arial"/>
        <family val="2"/>
      </rPr>
      <t>3</t>
    </r>
    <r>
      <rPr>
        <sz val="12"/>
        <rFont val="Arial"/>
        <family val="2"/>
      </rPr>
      <t>/h</t>
    </r>
  </si>
  <si>
    <t xml:space="preserve"> </t>
  </si>
  <si>
    <t>CP</t>
  </si>
  <si>
    <t>TEMP</t>
  </si>
  <si>
    <t>MOTEURS TRIPHASES 50Hz 1500Tr/mn</t>
  </si>
  <si>
    <t>Visc dyn + Conduct.</t>
  </si>
  <si>
    <t>Tfilm</t>
  </si>
  <si>
    <t>Visdyn</t>
  </si>
  <si>
    <t>Cond.</t>
  </si>
  <si>
    <t>Enthalpie [kJ/kg]</t>
  </si>
  <si>
    <t>number of box</t>
  </si>
  <si>
    <t>with radiation (1 = yes, 0 = no)</t>
  </si>
  <si>
    <t>hole automatic calculation</t>
  </si>
  <si>
    <t>speed line (ft/mn)</t>
  </si>
  <si>
    <t>width strip (Inch)</t>
  </si>
  <si>
    <t>thickness of the strip (Inch)</t>
  </si>
  <si>
    <t>(Z) hole/strip distance (Inch)</t>
  </si>
  <si>
    <t>Inch</t>
  </si>
  <si>
    <t>(X) hole pitch  (Inch)</t>
  </si>
  <si>
    <t>(D) hole diameter or slot witdh  (Inch)</t>
  </si>
  <si>
    <t>number of hole reserved hole by face</t>
  </si>
  <si>
    <t>blowing width  (Inch)</t>
  </si>
  <si>
    <t>blowing lenght (Ft)</t>
  </si>
  <si>
    <t>Ft</t>
  </si>
  <si>
    <t>blowing speed (Ft/s)</t>
  </si>
  <si>
    <t>Ft/Sec</t>
  </si>
  <si>
    <t>blowing temperature (Deg F)</t>
  </si>
  <si>
    <t>Deg F</t>
  </si>
  <si>
    <t>strip emissivity</t>
  </si>
  <si>
    <t>radiation furnace lenght  (Inch)</t>
  </si>
  <si>
    <t>radiation furnace height  (Inch)</t>
  </si>
  <si>
    <t>external temperature (Deg F)</t>
  </si>
  <si>
    <t>cooling rate (Deg F/s)</t>
  </si>
  <si>
    <t>Deg F/Sec</t>
  </si>
  <si>
    <t>entry strip temperature (Deg F)</t>
  </si>
  <si>
    <t>exit strip temperature (Deg F)</t>
  </si>
  <si>
    <t>output (Lb/Hr)</t>
  </si>
  <si>
    <t>Lb/Hr</t>
  </si>
  <si>
    <t>convection heat lost for the strip (BTUH)</t>
  </si>
  <si>
    <t>BTUH</t>
  </si>
  <si>
    <t>radiation heat lost by the strip (BTUH)</t>
  </si>
  <si>
    <t>thermal lost by the strip (BTUH)</t>
  </si>
  <si>
    <t>Total heat lost by the strip (BTUH)</t>
  </si>
  <si>
    <t>unit blower flowrate (CFM)</t>
  </si>
  <si>
    <t>CFM</t>
  </si>
  <si>
    <t>N2H2 heat exchanger entry temperature (Deg F)</t>
  </si>
  <si>
    <t>ducting pressure lost (Inch H2O)</t>
  </si>
  <si>
    <t>blower static pressure at ejection temperature (Inch H2O)</t>
  </si>
  <si>
    <t>Inch H2O</t>
  </si>
  <si>
    <t>blower electrical power (HP)</t>
  </si>
  <si>
    <t>HP</t>
  </si>
  <si>
    <t>optimal (X) (inch)</t>
  </si>
  <si>
    <t>optimal (D) (inch)</t>
  </si>
  <si>
    <t>optimal exchange coefficient</t>
  </si>
  <si>
    <t>blower electrical power</t>
  </si>
  <si>
    <t>entry water temperature (Deg F)</t>
  </si>
  <si>
    <t>water flowrate (GPM)</t>
  </si>
  <si>
    <t>GPM</t>
  </si>
  <si>
    <t>exit water temperature (Deg F)</t>
  </si>
  <si>
    <t>exchanger surface x exchange coefficient</t>
  </si>
  <si>
    <t>water delta temperature (dDeg F)</t>
  </si>
  <si>
    <t>dDegF</t>
  </si>
  <si>
    <t>delta T eau moyen</t>
  </si>
  <si>
    <t>Lb/hr</t>
  </si>
  <si>
    <t>ft/mn</t>
  </si>
  <si>
    <t>Deg F/s</t>
  </si>
  <si>
    <t>FT/s</t>
  </si>
  <si>
    <t>FT</t>
  </si>
  <si>
    <t>ft</t>
  </si>
  <si>
    <t>Hp</t>
  </si>
  <si>
    <t>entry strip T° :</t>
  </si>
  <si>
    <t>Wall thickness :</t>
  </si>
  <si>
    <t>Average conductivity :</t>
  </si>
  <si>
    <t>Strip Data</t>
  </si>
  <si>
    <t>Wall Data</t>
  </si>
  <si>
    <t>Production Data</t>
  </si>
  <si>
    <t>New Calculation :</t>
  </si>
  <si>
    <t>Modif. Prod.data, Wall,</t>
  </si>
  <si>
    <t>Tubes Temp., Efficiency :</t>
  </si>
  <si>
    <t>Row Description</t>
  </si>
  <si>
    <t>Wall</t>
  </si>
  <si>
    <t>Safe Value :</t>
  </si>
  <si>
    <t>Fume flow :</t>
  </si>
  <si>
    <t>Specific Cons. :</t>
  </si>
  <si>
    <t>HEAT BALANCE</t>
  </si>
  <si>
    <t>Width :</t>
  </si>
  <si>
    <t>Line speed :</t>
  </si>
  <si>
    <t>Steel type :</t>
  </si>
  <si>
    <t>Thichness :</t>
  </si>
  <si>
    <t>out strip T° :</t>
  </si>
  <si>
    <t>Strip power :</t>
  </si>
  <si>
    <t>Gas flow :</t>
  </si>
  <si>
    <t>Wall losses :</t>
  </si>
  <si>
    <t>Burners power :</t>
  </si>
  <si>
    <t>Fume</t>
  </si>
  <si>
    <t>Wall + divers</t>
  </si>
  <si>
    <t>[mm]</t>
  </si>
  <si>
    <t>[m]</t>
  </si>
  <si>
    <t>[m/mn]</t>
  </si>
  <si>
    <t>[°C]</t>
  </si>
  <si>
    <t>[W/m.°C]</t>
  </si>
  <si>
    <t>Wall losses [kw] :</t>
  </si>
  <si>
    <t>outside wall T° [°C] :</t>
  </si>
  <si>
    <t>Pci (kJ/Nm3) =</t>
  </si>
  <si>
    <t>P-U (kW) =</t>
  </si>
  <si>
    <t>P-I (kW) =</t>
  </si>
  <si>
    <t>Qgaz [Nm3/h]</t>
  </si>
  <si>
    <t>[kW]</t>
  </si>
  <si>
    <t>[Nm3/h]</t>
  </si>
  <si>
    <t>[MJ/t]</t>
  </si>
  <si>
    <t>TOT</t>
  </si>
  <si>
    <t>T_Fume [°F]</t>
  </si>
  <si>
    <t>Rolls diameter</t>
  </si>
  <si>
    <t>Solver guidelines</t>
  </si>
  <si>
    <t>STEP 1 &amp; 2 &amp; 3</t>
  </si>
  <si>
    <t>STEP 1-bis &amp; 3</t>
  </si>
  <si>
    <t>Columns Nber.</t>
  </si>
  <si>
    <t>Besoin [kW]</t>
  </si>
  <si>
    <t>Installer [kW]</t>
  </si>
  <si>
    <t>Pass:</t>
  </si>
  <si>
    <t>S_Tube [m²]</t>
  </si>
  <si>
    <t>FLOW =</t>
  </si>
  <si>
    <t>Methane</t>
  </si>
  <si>
    <t>m3/h</t>
  </si>
  <si>
    <t>Waste Gases</t>
  </si>
  <si>
    <t>Flow (Nm3/h)</t>
  </si>
  <si>
    <t>T (°C)</t>
  </si>
  <si>
    <t>Flow (m3/h)</t>
  </si>
  <si>
    <t>Installed</t>
  </si>
  <si>
    <t>Liste</t>
  </si>
  <si>
    <t>NO</t>
  </si>
  <si>
    <t>YES</t>
  </si>
  <si>
    <t>rho</t>
  </si>
  <si>
    <t>Economiser</t>
  </si>
  <si>
    <t>Flue product After Economiser</t>
  </si>
  <si>
    <t>Capacity (kw)</t>
  </si>
  <si>
    <t>Open</t>
  </si>
  <si>
    <t>Exhauster</t>
  </si>
  <si>
    <t>Pression daPa</t>
  </si>
  <si>
    <t>motor (kw)</t>
  </si>
  <si>
    <t>stack diameter mm</t>
  </si>
  <si>
    <t>control</t>
  </si>
  <si>
    <t>VVVF</t>
  </si>
  <si>
    <t>Vapor</t>
  </si>
  <si>
    <t>Cleaning Section</t>
  </si>
  <si>
    <t>Dryer</t>
  </si>
  <si>
    <t>water flow (m3/h)</t>
  </si>
  <si>
    <t>flow (kg/h)</t>
  </si>
  <si>
    <t>Air flow (m3/h)</t>
  </si>
  <si>
    <t>T_in (°C)</t>
  </si>
  <si>
    <t>T_out (°C)</t>
  </si>
  <si>
    <t>Pressure (bar)</t>
  </si>
  <si>
    <t>Bar</t>
  </si>
  <si>
    <t>Cp(kJ/kg.°C)</t>
  </si>
  <si>
    <t>Natural Gas</t>
  </si>
  <si>
    <t>fuels</t>
  </si>
  <si>
    <t>P[kW]</t>
  </si>
  <si>
    <t>Gas Flow [Nm3/h]</t>
  </si>
  <si>
    <t>Flue gases Flow [Nm3/h]</t>
  </si>
  <si>
    <t>TOTAL (w/o reserve)</t>
  </si>
  <si>
    <t>Control Zone</t>
  </si>
  <si>
    <t>TOTAL (5% reserve)</t>
  </si>
  <si>
    <t>POWER&amp;FLOW DISTRIBUTION</t>
  </si>
  <si>
    <t>Flue product before Economiser</t>
  </si>
  <si>
    <t>Dilution before Economiser</t>
  </si>
  <si>
    <t>Dilution before exhaust</t>
  </si>
  <si>
    <t>Vega</t>
  </si>
  <si>
    <t>Tin (°C)</t>
  </si>
  <si>
    <t>Tout (°C)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</si>
  <si>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</si>
  <si>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</si>
  <si>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</si>
  <si>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</si>
  <si>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</si>
  <si>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</si>
  <si>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</si>
  <si>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</si>
  <si>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</si>
  <si>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</si>
  <si>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</si>
  <si>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</si>
  <si>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</si>
  <si>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</si>
  <si>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</si>
  <si>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</si>
  <si>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</si>
  <si>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 xml:space="preserve">Thermette </t>
  </si>
  <si>
    <t>Modray</t>
  </si>
  <si>
    <t>Repertoire</t>
  </si>
  <si>
    <t>rangee</t>
  </si>
  <si>
    <t>section</t>
  </si>
  <si>
    <t>FluxTube_S1R1</t>
  </si>
  <si>
    <t>FluxTube_S1R2</t>
  </si>
  <si>
    <t>FluxTube_S1R3</t>
  </si>
  <si>
    <t>FluxTube_S1R4</t>
  </si>
  <si>
    <t>FluxTube_S2R1</t>
  </si>
  <si>
    <t>FluxTube_S2R2</t>
  </si>
  <si>
    <t>FluxTube_S2R3</t>
  </si>
  <si>
    <t>FluxTube_S2R4</t>
  </si>
  <si>
    <t>FluxTube_S3R1</t>
  </si>
  <si>
    <t>FluxTube_S3R2</t>
  </si>
  <si>
    <t>FluxTube_S3R3</t>
  </si>
  <si>
    <t>FluxTube_S3R4</t>
  </si>
  <si>
    <t>FluxTube_S4R1</t>
  </si>
  <si>
    <t>FluxTube_S4R2</t>
  </si>
  <si>
    <t>FluxTube_S4R3</t>
  </si>
  <si>
    <t>FluxTube_S4R4</t>
  </si>
  <si>
    <t>C:\Modray\</t>
  </si>
  <si>
    <t>c:\thermette\</t>
  </si>
  <si>
    <t>VISUALISATION</t>
  </si>
  <si>
    <t>RUN CALCULATION</t>
  </si>
  <si>
    <t>yes</t>
  </si>
  <si>
    <t>no</t>
  </si>
  <si>
    <t>calcul facteur de formes</t>
  </si>
  <si>
    <t>Temperature ambiante</t>
  </si>
  <si>
    <t>Four Solver</t>
  </si>
  <si>
    <t>Post teratment</t>
  </si>
  <si>
    <t>verification donnee</t>
  </si>
  <si>
    <t>Enthalpie Fum Top 4</t>
  </si>
  <si>
    <t>Enthalpie Fum Top 3</t>
  </si>
  <si>
    <t>Enthalpie Fum Top 2</t>
  </si>
  <si>
    <t>Enthalpie Fum Top 1</t>
  </si>
  <si>
    <t>Tfuel TakeOverPoint Top</t>
  </si>
  <si>
    <t>Tair TakeOverPoint Top</t>
  </si>
  <si>
    <t>mFuel Top</t>
  </si>
  <si>
    <t>mAir Top</t>
  </si>
  <si>
    <t>Enthalpie Fuel Top 4</t>
  </si>
  <si>
    <t>Enthalpie Fuel Top 3</t>
  </si>
  <si>
    <t>Enthalpie Fuel Top 2</t>
  </si>
  <si>
    <t>Enthalpie Fuel Top 1</t>
  </si>
  <si>
    <t>Enthalpie Air Top 4</t>
  </si>
  <si>
    <t>Enthalpie Air Top 3</t>
  </si>
  <si>
    <t>Enthalpie Air Top 2</t>
  </si>
  <si>
    <t>Enthalpie Air Top 1</t>
  </si>
  <si>
    <t>Fumees Compo  Top 5</t>
  </si>
  <si>
    <t>Fumees Compo  Top 4</t>
  </si>
  <si>
    <t>Fumees Compo  Top 3</t>
  </si>
  <si>
    <t>Fumees Compo  Top 2</t>
  </si>
  <si>
    <t>Fumees Compo  Top 1</t>
  </si>
  <si>
    <t>Fumees Name Top 5</t>
  </si>
  <si>
    <t>Fumees Name Top 4</t>
  </si>
  <si>
    <t>Fumees Name Top 3</t>
  </si>
  <si>
    <t>Fumees Name Top 2</t>
  </si>
  <si>
    <t>Fumees Name Top 1</t>
  </si>
  <si>
    <t>Fumees Ngaz Top</t>
  </si>
  <si>
    <t>MasseVolumique top</t>
  </si>
  <si>
    <t>ChaleurMassique top 4</t>
  </si>
  <si>
    <t>ChaleurMassique top 3</t>
  </si>
  <si>
    <t>ChaleurMassique top 2</t>
  </si>
  <si>
    <t>ChaleurMassique top 1</t>
  </si>
  <si>
    <t>mFumRegeFuel Top</t>
  </si>
  <si>
    <t>mFumRegeAir Top</t>
  </si>
  <si>
    <t>QfumRecu Top</t>
  </si>
  <si>
    <t>mFumRecu Top</t>
  </si>
  <si>
    <t>mFuelRege Top</t>
  </si>
  <si>
    <t>mAirRege Top</t>
  </si>
  <si>
    <t>mFuelRecu Top</t>
  </si>
  <si>
    <t>mAirRecu Top</t>
  </si>
  <si>
    <t>QAirRecu top</t>
  </si>
  <si>
    <t>ExcesAir top</t>
  </si>
  <si>
    <t>AspiRegeAir top</t>
  </si>
  <si>
    <t>EffRegeAir top</t>
  </si>
  <si>
    <t>AspiRegeFuel top</t>
  </si>
  <si>
    <t>EffRegeFuel top</t>
  </si>
  <si>
    <t>DebitsFumees top</t>
  </si>
  <si>
    <t>DebitsAir top</t>
  </si>
  <si>
    <t>DebitsFuel top</t>
  </si>
  <si>
    <t>Tair top</t>
  </si>
  <si>
    <t>Tfuel top</t>
  </si>
  <si>
    <t>PolyTfumeesEqFuel top 4</t>
  </si>
  <si>
    <t>PolyTfumeesEqFuel top 3</t>
  </si>
  <si>
    <t>PolyTfumeesEqFuel top 2</t>
  </si>
  <si>
    <t>PolyTfumeesEqFuel top 1</t>
  </si>
  <si>
    <t>PolyTfumeesEqAir top 4</t>
  </si>
  <si>
    <t>PolyTfumeesEqAir top 3</t>
  </si>
  <si>
    <t>PolyTfumeesEqAir top 2</t>
  </si>
  <si>
    <t>PolyTfumeesEqAir top 1</t>
  </si>
  <si>
    <t>PolyTfumeesfroidesFuel top 4</t>
  </si>
  <si>
    <t>PolyTfumeesfroidesFuel top 3</t>
  </si>
  <si>
    <t>PolyTfumeesfroidesFuel top 2</t>
  </si>
  <si>
    <t>PolyTfumeesfroidesFuel top 1</t>
  </si>
  <si>
    <t>PolyTfumeesfroidesAir top 4</t>
  </si>
  <si>
    <t>PolyTfumeesfroidesAir top 3</t>
  </si>
  <si>
    <t>PolyTfumeesfroidesAir top 2</t>
  </si>
  <si>
    <t>PolyTfumeesfroidesAir top 1</t>
  </si>
  <si>
    <t>PolyTfuelchaud top 4</t>
  </si>
  <si>
    <t>PolyTfuelchaud top 3</t>
  </si>
  <si>
    <t>PolyTfuelchaud top 2</t>
  </si>
  <si>
    <t>PolyTfuelchaud top 1</t>
  </si>
  <si>
    <t>PolyTairchaud top 4</t>
  </si>
  <si>
    <t>PolyTairchaud top 3</t>
  </si>
  <si>
    <t>PolyTairchaud top 2</t>
  </si>
  <si>
    <t>PolyTairchaud top 1</t>
  </si>
  <si>
    <t>Comburant_Compo top 5</t>
  </si>
  <si>
    <t>Comburant_Compo top 4</t>
  </si>
  <si>
    <t>Comburant_Compo top 3</t>
  </si>
  <si>
    <t>Comburant_Compo top 2</t>
  </si>
  <si>
    <t>Comburant_Compo top 1</t>
  </si>
  <si>
    <t>Comburant_Names top 5</t>
  </si>
  <si>
    <t>Comburant_Names top 4</t>
  </si>
  <si>
    <t>Comburant_Names top 3</t>
  </si>
  <si>
    <t>Comburant_Names top 2</t>
  </si>
  <si>
    <t>Comburant_Names top 1</t>
  </si>
  <si>
    <t>Comburant_Ngaz top</t>
  </si>
  <si>
    <t>Air_sec</t>
  </si>
  <si>
    <t>Comburants top</t>
  </si>
  <si>
    <t>Combustible_Compo top 24</t>
  </si>
  <si>
    <t>Combustible_Compo top 23</t>
  </si>
  <si>
    <t>Combustible_Compo top 22</t>
  </si>
  <si>
    <t>Combustible_Compo top 21</t>
  </si>
  <si>
    <t>Combustible_Compo top 20</t>
  </si>
  <si>
    <t>Combustible_Compo top 19</t>
  </si>
  <si>
    <t>Combustible_Compo top 18</t>
  </si>
  <si>
    <t>Combustible_Compo top 17</t>
  </si>
  <si>
    <t>Combustible_Compo top 16</t>
  </si>
  <si>
    <t>Combustible_Compo top 15</t>
  </si>
  <si>
    <t>Combustible_Compo top 14</t>
  </si>
  <si>
    <t>Combustible_Compo top 13</t>
  </si>
  <si>
    <t>Combustible_Compo top 12</t>
  </si>
  <si>
    <t>Combustible_Compo top 11</t>
  </si>
  <si>
    <t>Combustible_Compo top 10</t>
  </si>
  <si>
    <t>Combustible_Compo top 9</t>
  </si>
  <si>
    <t>Combustible_Compo top 8</t>
  </si>
  <si>
    <t>Combustible_Compo top 7</t>
  </si>
  <si>
    <t>Combustible_Compo top 6</t>
  </si>
  <si>
    <t>Combustible_Compo top 5</t>
  </si>
  <si>
    <t>Combustible_Compo top 4</t>
  </si>
  <si>
    <t>Combustible_Compo top 3</t>
  </si>
  <si>
    <t>Combustible_Compo top 2</t>
  </si>
  <si>
    <t>Combustible_Compo top 1</t>
  </si>
  <si>
    <t>Combustible_Names top 24</t>
  </si>
  <si>
    <t>Combustible_Names top 23</t>
  </si>
  <si>
    <t>Combustible_Names top 22</t>
  </si>
  <si>
    <t>Combustible_Names top 21</t>
  </si>
  <si>
    <t>Combustible_Names top 20</t>
  </si>
  <si>
    <t>Combustible_Names top 19</t>
  </si>
  <si>
    <t>Combustible_Names top 18</t>
  </si>
  <si>
    <t>Combustible_Names top 17</t>
  </si>
  <si>
    <t>Combustible_Names top 16</t>
  </si>
  <si>
    <t>Combustible_Names top 15</t>
  </si>
  <si>
    <t>Combustible_Names top 14</t>
  </si>
  <si>
    <t>Combustible_Names top 13</t>
  </si>
  <si>
    <t>Combustible_Names top 12</t>
  </si>
  <si>
    <t>Combustible_Names top 11</t>
  </si>
  <si>
    <t>Combustible_Names top 10</t>
  </si>
  <si>
    <t>Combustible_Names top 9</t>
  </si>
  <si>
    <t>Combustible_Names top 8</t>
  </si>
  <si>
    <t>Combustible_Names top 7</t>
  </si>
  <si>
    <t>Combustible_Names top 6</t>
  </si>
  <si>
    <t>Combustible_Names top 5</t>
  </si>
  <si>
    <t>Combustible_Names top 4</t>
  </si>
  <si>
    <t>Combustible_Names top 3</t>
  </si>
  <si>
    <t>Combustible_Names top 2</t>
  </si>
  <si>
    <t>Combustible_Names top 1</t>
  </si>
  <si>
    <t>Combustible_Ngaz top</t>
  </si>
  <si>
    <t>Gaz_naturel</t>
  </si>
  <si>
    <t>Combustibles top</t>
  </si>
  <si>
    <t>Ratio P installe top</t>
  </si>
  <si>
    <t>Puissances top</t>
  </si>
  <si>
    <t>Nb bruleurs top</t>
  </si>
  <si>
    <t>Enthalpy [J/kg]</t>
  </si>
  <si>
    <t>Emissivity</t>
  </si>
  <si>
    <t>PCS</t>
  </si>
  <si>
    <t>Coefficients des fonctions polynomiales de Cp</t>
  </si>
  <si>
    <t>correc940[10][11]</t>
  </si>
  <si>
    <t>Superposition_H2O_CO2_a_940_oC</t>
  </si>
  <si>
    <t>correc535[10][11]</t>
  </si>
  <si>
    <t>Superposition_H2O_CO2_a_535_oC</t>
  </si>
  <si>
    <t>correc126[10][11]</t>
  </si>
  <si>
    <t>Superposition_H2O_CO2_a_126_oC</t>
  </si>
  <si>
    <t>pH20_pH2OCO2_correc[11]</t>
  </si>
  <si>
    <t>pCO2H2O_L_correc[10]</t>
  </si>
  <si>
    <t>correc_H2O[8][5]</t>
  </si>
  <si>
    <t>pH2O_L[8]</t>
  </si>
  <si>
    <t>T_correcH2O[5]</t>
  </si>
  <si>
    <t>emiss_H20[18][25]</t>
  </si>
  <si>
    <t>emiss_CO2[18][25]</t>
  </si>
  <si>
    <t>pCO2H2O_L[18]</t>
  </si>
  <si>
    <t>Températures[25]</t>
  </si>
  <si>
    <t>Open…</t>
  </si>
  <si>
    <t>Save as…</t>
  </si>
  <si>
    <t>Reload database</t>
  </si>
  <si>
    <t>Current directory :</t>
  </si>
  <si>
    <t>C:\Users\patrick pro\Documents</t>
  </si>
  <si>
    <t>Current file :</t>
  </si>
  <si>
    <t>File information :</t>
  </si>
  <si>
    <t>Engineer :</t>
  </si>
  <si>
    <t>LF</t>
  </si>
  <si>
    <t>Customer :</t>
  </si>
  <si>
    <t>AM Gijon</t>
  </si>
  <si>
    <t>Furnace name :</t>
  </si>
  <si>
    <t>Pilot furnace</t>
  </si>
  <si>
    <t>Date :</t>
  </si>
  <si>
    <t>Revision :</t>
  </si>
  <si>
    <t>Thermette directory :</t>
  </si>
  <si>
    <t>C:\Thermette</t>
  </si>
  <si>
    <t>Modray directory :</t>
  </si>
  <si>
    <t>C:\Modray</t>
  </si>
  <si>
    <t>Medit directory :</t>
  </si>
  <si>
    <t>C:\Modray\Medit</t>
  </si>
  <si>
    <t>Fuels database :</t>
  </si>
  <si>
    <t>Add…</t>
  </si>
  <si>
    <t>Remove…</t>
  </si>
  <si>
    <t>Load Database…</t>
  </si>
  <si>
    <t>C:\Databases\Fuels.dtb</t>
  </si>
  <si>
    <t>Comburants database :</t>
  </si>
  <si>
    <t>C:\Databases\Comburants.dtb</t>
  </si>
  <si>
    <t>Refractories database :</t>
  </si>
  <si>
    <t>C:\Databases\Refractories.dtb</t>
  </si>
  <si>
    <t>air sec chaud</t>
  </si>
  <si>
    <t>Oxygene</t>
  </si>
  <si>
    <t>Oxygene 10%</t>
  </si>
  <si>
    <t>Oxygene 20%</t>
  </si>
  <si>
    <t>Oxygene 30%</t>
  </si>
  <si>
    <t>Oxygene 40%</t>
  </si>
  <si>
    <t>Oxygene 50%</t>
  </si>
  <si>
    <t>Oxygene 60%</t>
  </si>
  <si>
    <t>Oxygene 70%</t>
  </si>
  <si>
    <t>Gaz_de_cokerie</t>
  </si>
  <si>
    <t>Gaz_Haut_Fourneau</t>
  </si>
  <si>
    <t>Gaz_mixte</t>
  </si>
  <si>
    <t>Gaz_Sidmar</t>
  </si>
  <si>
    <t>GN Saint Chely</t>
  </si>
  <si>
    <t>GN_Ascometal</t>
  </si>
  <si>
    <t>GN_Aulnoye</t>
  </si>
  <si>
    <t>GN_Duferco</t>
  </si>
  <si>
    <t>GN_Gueugnon</t>
  </si>
  <si>
    <t>GN_Rath</t>
  </si>
  <si>
    <t>Mixte_2600</t>
  </si>
  <si>
    <t>NG_Allegheny</t>
  </si>
  <si>
    <t>NG_Borcelik</t>
  </si>
  <si>
    <t>NG_PortTalbot</t>
  </si>
  <si>
    <t>NG_Roman</t>
  </si>
  <si>
    <t>NG_Ternium</t>
  </si>
  <si>
    <t>BFG_Sidmar</t>
  </si>
  <si>
    <t>Blue_Scope_compo_2</t>
  </si>
  <si>
    <t>Gaz naturel</t>
  </si>
  <si>
    <t>GN_20%H2</t>
  </si>
  <si>
    <t>GN_saint_saulve</t>
  </si>
  <si>
    <t>Sections ID</t>
  </si>
  <si>
    <t>Nombre Sections</t>
  </si>
  <si>
    <t>Hauteur Section :</t>
  </si>
  <si>
    <t>Largeur four:</t>
  </si>
  <si>
    <t>**echange  Tube_S1_R1mur_S1_R1Gauche_0 VN  Tube_S1_R1  mur_S1_R1Gauche_0   1.5979E-001*sfrad(T1,T2)</t>
  </si>
  <si>
    <t>**echange  Tube_S1_R1mur_S1_R1Lat_0 VN  Tube_S1_R1  mur_S1_R1Lat_0   1.2164E-001*sfrad(T1,T2)</t>
  </si>
  <si>
    <t>**echange  mur_S1_R1Lat_0mur_S1_R1Gauche_0 NN  mur_S1_R1Lat_0  mur_S1_R1Gauche_0   6.1767E+000*sfrad(T1,T2)</t>
  </si>
  <si>
    <t>**echange  Tube_S1_R1mur_S1_R1Bas_0 VN  Tube_S1_R1  mur_S1_R1Bas_0   9.4564E-002*sfrad(T1,T2)</t>
  </si>
  <si>
    <t>**echange  mur_S1_R1Bas_0mur_S1_R1Gauche_0 NN  mur_S1_R1Bas_0  mur_S1_R1Gauche_0   5.1161E-001*sfrad(T1,T2)</t>
  </si>
  <si>
    <t>**echange  mur_S1_R1Bas_0mur_S1_R1Lat_0 NN  mur_S1_R1Bas_0  mur_S1_R1Lat_0   4.3272E-001*sfrad(T1,T2)</t>
  </si>
  <si>
    <t>**echange  B_S1_R1Tube_S1_R1 BV  B_S1_R1  Tube_S1_R1   3.4693E-002*sfrad(T1,T2)</t>
  </si>
  <si>
    <t>**echange  B_S1_R1mur_S1_R1Gauche_0 BN  B_S1_R1  mur_S1_R1Gauche_0   1.1079E-001*sfrad(T1,T2)</t>
  </si>
  <si>
    <t>**echange  B_S1_R1mur_S1_R1Lat_0 BN  B_S1_R1  mur_S1_R1Lat_0   6.4506E-002*sfrad(T1,T2)</t>
  </si>
  <si>
    <t>**echange  B_S1_R1mur_S1_R1Bas_0 BN  B_S1_R1  mur_S1_R1Bas_0   6.2850E-003*sfrad(T1,T2)</t>
  </si>
  <si>
    <t>**echange  Tube_S1_R2mur_S1_R2Lat_0 VN  Tube_S1_R2  mur_S1_R2Lat_0   1.6614E-001*sfrad(T1,T2)</t>
  </si>
  <si>
    <t>**echange  Tube_S1_R2mur_S1_R2Bas_0 VN  Tube_S1_R2  mur_S1_R2Bas_0   2.7679E-001*sfrad(T1,T2)</t>
  </si>
  <si>
    <t>**echange  mur_S1_R2Bas_0mur_S1_R2Lat_0 NN  mur_S1_R2Bas_0  mur_S1_R2Lat_0   5.1584E-001*sfrad(T1,T2)</t>
  </si>
  <si>
    <t>**echange  B_S1_R1Tube_S1_R2 BV  B_S1_R1  Tube_S1_R2   4.9661E-002*sfrad(T1,T2)</t>
  </si>
  <si>
    <t>**echange  B_S1_R1mur_S1_R2Lat_0 BN  B_S1_R1  mur_S1_R2Lat_0   1.1652E-001*sfrad(T1,T2)</t>
  </si>
  <si>
    <t>**echange  B_S1_R1mur_S1_R2Bas_0 BN  B_S1_R1  mur_S1_R2Bas_0   7.5841E-003*sfrad(T1,T2)</t>
  </si>
  <si>
    <t>**echange  B_S1_R2Tube_S1_R2 BV  B_S1_R2  Tube_S1_R2   4.9663E-002*sfrad(T1,T2)</t>
  </si>
  <si>
    <t>**echange  B_S1_R2mur_S1_R2Lat_0 BN  B_S1_R2  mur_S1_R2Lat_0   1.1650E-001*sfrad(T1,T2)</t>
  </si>
  <si>
    <t>**echange  B_S1_R2mur_S1_R2Bas_0 BN  B_S1_R2  mur_S1_R2Bas_0   7.5800E-003*sfrad(T1,T2)</t>
  </si>
  <si>
    <t>**echange  B_S1_R2B_S1_R1 BB  B_S1_R2  B_S1_R1   3.0155E-002*sfrad(T1,T2)</t>
  </si>
  <si>
    <t>**echange  Tube_S1_R3mur_S1_R3Lat_0 VN  Tube_S1_R3  mur_S1_R3Lat_0   1.5544E-001*sfrad(T1,T2)</t>
  </si>
  <si>
    <t>**echange  Tube_S1_R3mur_S1_R3Bas_0 VN  Tube_S1_R3  mur_S1_R3Bas_0   1.5255E-001*sfrad(T1,T2)</t>
  </si>
  <si>
    <t>**echange  mur_S1_R3Bas_0mur_S1_R3Lat_0 NN  mur_S1_R3Bas_0  mur_S1_R3Lat_0   6.1925E-001*sfrad(T1,T2)</t>
  </si>
  <si>
    <t>**echange  B_S1_R2Tube_S1_R3 BV  B_S1_R2  Tube_S1_R3   4.4021E-002*sfrad(T1,T2)</t>
  </si>
  <si>
    <t>**echange  B_S1_R2mur_S1_R3Lat_0 BN  B_S1_R2  mur_S1_R3Lat_0   1.1761E-001*sfrad(T1,T2)</t>
  </si>
  <si>
    <t>**echange  B_S1_R2mur_S1_R3Bas_0 BN  B_S1_R2  mur_S1_R3Bas_0   9.6534E-003*sfrad(T1,T2)</t>
  </si>
  <si>
    <t>**echange  B_S1_R3Tube_S1_R3 BV  B_S1_R3  Tube_S1_R3   4.4006E-002*sfrad(T1,T2)</t>
  </si>
  <si>
    <t>**echange  B_S1_R3mur_S1_R3Lat_0 BN  B_S1_R3  mur_S1_R3Lat_0   1.1762E-001*sfrad(T1,T2)</t>
  </si>
  <si>
    <t>**echange  B_S1_R3mur_S1_R3Bas_0 BN  B_S1_R3  mur_S1_R3Bas_0   9.6498E-003*sfrad(T1,T2)</t>
  </si>
  <si>
    <t>**echange  B_S1_R3B_S1_R2 BB  B_S1_R3  B_S1_R2   3.2056E-002*sfrad(T1,T2)</t>
  </si>
  <si>
    <t>**echange  Tube_S1_R4mur_S1_R4Droit_0 VN  Tube_S1_R4  mur_S1_R4Droit_0   1.8978E-001*sfrad(T1,T2)</t>
  </si>
  <si>
    <t>**echange  Tube_S1_R4mur_S1_R4Lat_0 VN  Tube_S1_R4  mur_S1_R4Lat_0   1.4280E-001*sfrad(T1,T2)</t>
  </si>
  <si>
    <t>**echange  mur_S1_R4Lat_0mur_S1_R4Droit_0 NN  mur_S1_R4Lat_0  mur_S1_R4Droit_0   6.0098E+000*sfrad(T1,T2)</t>
  </si>
  <si>
    <t>**echange  Tube_S1_R4mur_S1_R4Bas_0 VN  Tube_S1_R4  mur_S1_R4Bas_0   1.1546E-001*sfrad(T1,T2)</t>
  </si>
  <si>
    <t>**echange  mur_S1_R4Bas_0mur_S1_R4Droit_0 NN  mur_S1_R4Bas_0  mur_S1_R4Droit_0   4.9756E-001*sfrad(T1,T2)</t>
  </si>
  <si>
    <t>**echange  mur_S1_R4Bas_0mur_S1_R4Lat_0 NN  mur_S1_R4Bas_0  mur_S1_R4Lat_0   4.1884E-001*sfrad(T1,T2)</t>
  </si>
  <si>
    <t>**echange  B_S1_R3Tube_S1_R4 BV  B_S1_R3  Tube_S1_R4   4.1417E-002*sfrad(T1,T2)</t>
  </si>
  <si>
    <t>**echange  B_S1_R3mur_S1_R4Droit_0 BN  B_S1_R3  mur_S1_R4Droit_0   1.0541E-001*sfrad(T1,T2)</t>
  </si>
  <si>
    <t>**echange  B_S1_R3mur_S1_R4Lat_0 BN  B_S1_R3  mur_S1_R4Lat_0   6.3367E-002*sfrad(T1,T2)</t>
  </si>
  <si>
    <t>**echange  B_S1_R3mur_S1_R4Bas_0 BN  B_S1_R3  mur_S1_R4Bas_0   6.1625E-003*sfrad(T1,T2)</t>
  </si>
  <si>
    <t>**echange  Tube_S2_R1mur_S2_R1Gauche_0 VN  Tube_S2_R1  mur_S2_R1Gauche_0   1.5979E-001*sfrad(T1,T2)</t>
  </si>
  <si>
    <t>**echange  Tube_S2_R1mur_S2_R1Lat_0 VN  Tube_S2_R1  mur_S2_R1Lat_0   1.2163E-001*sfrad(T1,T2)</t>
  </si>
  <si>
    <t>**echange  mur_S2_R1Lat_0mur_S2_R1Gauche_0 NN  mur_S2_R1Lat_0  mur_S2_R1Gauche_0   6.1768E+000*sfrad(T1,T2)</t>
  </si>
  <si>
    <t>**echange  Tube_S2_R1mur_S2_R1Haut_0 VN  Tube_S2_R1  mur_S2_R1Haut_0   9.4768E-002*sfrad(T1,T2)</t>
  </si>
  <si>
    <t>**echange  mur_S2_R1Haut_0mur_S2_R1Gauche_0 NN  mur_S2_R1Haut_0  mur_S2_R1Gauche_0   5.1126E-001*sfrad(T1,T2)</t>
  </si>
  <si>
    <t>**echange  mur_S2_R1Haut_0mur_S2_R1Lat_0 NN  mur_S2_R1Haut_0  mur_S2_R1Lat_0   4.3263E-001*sfrad(T1,T2)</t>
  </si>
  <si>
    <t>**echange  B_S2_R1Tube_S2_R1 BV  B_S2_R1  Tube_S2_R1   3.4691E-002*sfrad(T1,T2)</t>
  </si>
  <si>
    <t>**echange  B_S2_R1mur_S2_R1Gauche_0 BN  B_S2_R1  mur_S2_R1Gauche_0   1.1079E-001*sfrad(T1,T2)</t>
  </si>
  <si>
    <t>**echange  B_S2_R1mur_S2_R1Lat_0 BN  B_S2_R1  mur_S2_R1Lat_0   6.4503E-002*sfrad(T1,T2)</t>
  </si>
  <si>
    <t>**echange  B_S2_R1mur_S2_R1Haut_0 BN  B_S2_R1  mur_S2_R1Haut_0   6.2895E-003*sfrad(T1,T2)</t>
  </si>
  <si>
    <t>**echange  Tube_S2_R2mur_S2_R2Lat_0 VN  Tube_S2_R2  mur_S2_R2Lat_0   4.1646E-002*sfrad(T1,T2)</t>
  </si>
  <si>
    <t>**echange  Tube_S2_R2mur_S2_R2Haut_0 VN  Tube_S2_R2  mur_S2_R2Haut_0   2.1038E-003*sfrad(T1,T2)</t>
  </si>
  <si>
    <t>**echange  mur_S2_R2Haut_0mur_S2_R2Lat_0 NN  mur_S2_R2Haut_0  mur_S2_R2Lat_0   7.5546E-001*sfrad(T1,T2)</t>
  </si>
  <si>
    <t>**echange  B_S2_R1Tube_S2_R2 BV  B_S2_R1  Tube_S2_R2   1.1719E-002*sfrad(T1,T2)</t>
  </si>
  <si>
    <t>**echange  B_S2_R1mur_S2_R2Lat_0 BN  B_S2_R1  mur_S2_R2Lat_0   1.3645E-001*sfrad(T1,T2)</t>
  </si>
  <si>
    <t>**echange  B_S2_R1mur_S2_R2Haut_0 BN  B_S2_R1  mur_S2_R2Haut_0   1.1956E-002*sfrad(T1,T2)</t>
  </si>
  <si>
    <t>**echange  B_S2_R2Tube_S2_R2 BV  B_S2_R2  Tube_S2_R2   1.1720E-002*sfrad(T1,T2)</t>
  </si>
  <si>
    <t>**echange  B_S2_R2mur_S2_R2Lat_0 BN  B_S2_R2  mur_S2_R2Lat_0   1.3648E-001*sfrad(T1,T2)</t>
  </si>
  <si>
    <t>**echange  B_S2_R2mur_S2_R2Haut_0 BN  B_S2_R2  mur_S2_R2Haut_0   1.1927E-002*sfrad(T1,T2)</t>
  </si>
  <si>
    <t>**echange  B_S2_R2B_S2_R1 BB  B_S2_R2  B_S2_R1   3.8492E-002*sfrad(T1,T2)</t>
  </si>
  <si>
    <t>**echange  Tube_S2_R3mur_S2_R3Lat_0 VN  Tube_S2_R3  mur_S2_R3Lat_0   1.9384E-001*sfrad(T1,T2)</t>
  </si>
  <si>
    <t>**echange  Tube_S2_R3mur_S2_R3Haut_0 VN  Tube_S2_R3  mur_S2_R3Haut_0   1.5322E-001*sfrad(T1,T2)</t>
  </si>
  <si>
    <t>**echange  mur_S2_R3Haut_0mur_S2_R3Lat_0 NN  mur_S2_R3Haut_0  mur_S2_R3Lat_0   6.1878E-001*sfrad(T1,T2)</t>
  </si>
  <si>
    <t>**echange  B_S2_R2Tube_S2_R3 BV  B_S2_R2  Tube_S2_R3   5.4900E-002*sfrad(T1,T2)</t>
  </si>
  <si>
    <t>**echange  B_S2_R2mur_S2_R3Lat_0 BN  B_S2_R2  mur_S2_R3Lat_0   1.1061E-001*sfrad(T1,T2)</t>
  </si>
  <si>
    <t>**echange  B_S2_R2mur_S2_R3Haut_0 BN  B_S2_R2  mur_S2_R3Haut_0   9.6434E-003*sfrad(T1,T2)</t>
  </si>
  <si>
    <t>**echange  B_S2_R3Tube_S2_R3 BV  B_S2_R3  Tube_S2_R3   5.4872E-002*sfrad(T1,T2)</t>
  </si>
  <si>
    <t>**echange  B_S2_R3mur_S2_R3Lat_0 BN  B_S2_R3  mur_S2_R3Lat_0   1.1065E-001*sfrad(T1,T2)</t>
  </si>
  <si>
    <t>**echange  B_S2_R3mur_S2_R3Haut_0 BN  B_S2_R3  mur_S2_R3Haut_0   9.6291E-003*sfrad(T1,T2)</t>
  </si>
  <si>
    <t>**echange  B_S2_R3B_S2_R2 BB  B_S2_R3  B_S2_R2   2.9807E-002*sfrad(T1,T2)</t>
  </si>
  <si>
    <t>**echange  Tube_S2_R4mur_S2_R4Droit_0 VN  Tube_S2_R4  mur_S2_R4Droit_0   3.2604E-002*sfrad(T1,T2)</t>
  </si>
  <si>
    <t>**echange  Tube_S2_R4mur_S2_R4Lat_0 VN  Tube_S2_R4  mur_S2_R4Lat_0   2.5276E-002*sfrad(T1,T2)</t>
  </si>
  <si>
    <t>**echange  mur_S2_R4Lat_0mur_S2_R4Droit_0 NN  mur_S2_R4Lat_0  mur_S2_R4Droit_0   6.9301E+000*sfrad(T1,T2)</t>
  </si>
  <si>
    <t>**echange  Tube_S2_R4mur_S2_R4Haut_0 VN  Tube_S2_R4  mur_S2_R4Haut_0   1.3194E-003*sfrad(T1,T2)</t>
  </si>
  <si>
    <t>**echange  mur_S2_R4Haut_0mur_S2_R4Droit_0 NN  mur_S2_R4Haut_0  mur_S2_R4Droit_0   5.8129E-001*sfrad(T1,T2)</t>
  </si>
  <si>
    <t>**echange  mur_S2_R4Haut_0mur_S2_R4Lat_0 NN  mur_S2_R4Haut_0  mur_S2_R4Lat_0   4.8948E-001*sfrad(T1,T2)</t>
  </si>
  <si>
    <t>**echange  B_S2_R3Tube_S2_R4 BV  B_S2_R3  Tube_S2_R4   7.1926E-003*sfrad(T1,T2)</t>
  </si>
  <si>
    <t>**echange  B_S2_R3mur_S2_R4Droit_0 BN  B_S2_R3  mur_S2_R4Droit_0   1.3155E-001*sfrad(T1,T2)</t>
  </si>
  <si>
    <t>**echange  B_S2_R3mur_S2_R4Lat_0 BN  B_S2_R3  mur_S2_R4Lat_0   7.0457E-002*sfrad(T1,T2)</t>
  </si>
  <si>
    <t>**echange  B_S2_R3mur_S2_R4Haut_0 BN  B_S2_R3  mur_S2_R4Haut_0   6.7738E-003*sfrad(T1,T2)</t>
  </si>
  <si>
    <t>**echange  Tube_S3_R1mur_S3_R1Gauche_0 VN  Tube_S3_R1  mur_S3_R1Gauche_0   1.5979E-001*sfrad(T1,T2)</t>
  </si>
  <si>
    <t>**echange  B_S3_R1mur_S3_R1Gauche_0 BN  B_S3_R1  mur_S3_R1Gauche_0   1.1079E-001*sfrad(T1,T2)</t>
  </si>
  <si>
    <t>**echange  B_S3_R2mur_S3_R2Lat_0 BN  B_S3_R2  mur_S3_R2Lat_0   1.0523E-001*sfrad(T1,T2)</t>
  </si>
  <si>
    <t>**echange  B_S3_R2mur_S3_R3Lat_0 BN  B_S3_R2  mur_S3_R3Lat_0   1.1061E-001*sfrad(T1,T2)</t>
  </si>
  <si>
    <t>**echange  Tube_S4_R1mur_S4_R1Gauche_0 VN  Tube_S4_R1  mur_S4_R1Gauche_0   1.5979E-001*sfrad(T1,T2)</t>
  </si>
  <si>
    <t>**echange  Tube_S4_R1mur_S4_R1Lat_0 VN  Tube_S4_R1  mur_S4_R1Lat_0   1.2164E-001*sfrad(T1,T2)</t>
  </si>
  <si>
    <t>**echange  mur_S4_R1Lat_0mur_S4_R1Gauche_0 NN  mur_S4_R1Lat_0  mur_S4_R1Gauche_0   6.1767E+000*sfrad(T1,T2)</t>
  </si>
  <si>
    <t>**echange  Tube_S4_R1mur_S4_R1Bas_0 VN  Tube_S4_R1  mur_S4_R1Bas_0   9.4564E-002*sfrad(T1,T2)</t>
  </si>
  <si>
    <t>**echange  mur_S4_R1Bas_0mur_S4_R1Gauche_0 NN  mur_S4_R1Bas_0  mur_S4_R1Gauche_0   5.1161E-001*sfrad(T1,T2)</t>
  </si>
  <si>
    <t>**echange  mur_S4_R1Bas_0mur_S4_R1Lat_0 NN  mur_S4_R1Bas_0  mur_S4_R1Lat_0   4.3272E-001*sfrad(T1,T2)</t>
  </si>
  <si>
    <t>**echange  B_S4_R1Tube_S4_R1 BV  B_S4_R1  Tube_S4_R1   3.4693E-002*sfrad(T1,T2)</t>
  </si>
  <si>
    <t>**echange  B_S4_R1mur_S4_R1Gauche_0 BN  B_S4_R1  mur_S4_R1Gauche_0   1.1079E-001*sfrad(T1,T2)</t>
  </si>
  <si>
    <t>**echange  B_S4_R1mur_S4_R1Lat_0 BN  B_S4_R1  mur_S4_R1Lat_0   6.4506E-002*sfrad(T1,T2)</t>
  </si>
  <si>
    <t>**echange  B_S4_R1mur_S4_R1Bas_0 BN  B_S4_R1  mur_S4_R1Bas_0   6.2850E-003*sfrad(T1,T2)</t>
  </si>
  <si>
    <t>**echange  Tube_S4_R2mur_S4_R2Lat_0 VN  Tube_S4_R2  mur_S4_R2Lat_0   2.2576E-001*sfrad(T1,T2)</t>
  </si>
  <si>
    <t>**echange  Tube_S4_R2mur_S4_R2Bas_0 VN  Tube_S4_R2  mur_S4_R2Bas_0   1.7962E-001*sfrad(T1,T2)</t>
  </si>
  <si>
    <t>**echange  mur_S4_R2Bas_0mur_S4_R2Lat_0 NN  mur_S4_R2Bas_0  mur_S4_R2Lat_0   5.9311E-001*sfrad(T1,T2)</t>
  </si>
  <si>
    <t>**echange  B_S4_R1Tube_S4_R2 BV  B_S4_R1  Tube_S4_R2   6.4073E-002*sfrad(T1,T2)</t>
  </si>
  <si>
    <t>**echange  B_S4_R1mur_S4_R2Lat_0 BN  B_S4_R1  mur_S4_R2Lat_0   1.0511E-001*sfrad(T1,T2)</t>
  </si>
  <si>
    <t>**echange  B_S4_R1mur_S4_R2Bas_0 BN  B_S4_R1  mur_S4_R2Bas_0   9.2941E-003*sfrad(T1,T2)</t>
  </si>
  <si>
    <t>**echange  B_S4_R2Tube_S4_R2 BV  B_S4_R2  Tube_S4_R2   6.3993E-002*sfrad(T1,T2)</t>
  </si>
  <si>
    <t>**echange  B_S4_R2mur_S4_R2Lat_0 BN  B_S4_R2  mur_S4_R2Lat_0   1.0523E-001*sfrad(T1,T2)</t>
  </si>
  <si>
    <t>**echange  B_S4_R2mur_S4_R2Bas_0 BN  B_S4_R2  mur_S4_R2Bas_0   9.2732E-003*sfrad(T1,T2)</t>
  </si>
  <si>
    <t>**echange  B_S4_R2B_S4_R1 BB  B_S4_R2  B_S4_R1   2.7831E-002*sfrad(T1,T2)</t>
  </si>
  <si>
    <t>**echange  Tube_S4_R3mur_S4_R3Lat_0 VN  Tube_S4_R3  mur_S4_R3Lat_0   1.9385E-001*sfrad(T1,T2)</t>
  </si>
  <si>
    <t>**echange  Tube_S4_R3mur_S4_R3Bas_0 VN  Tube_S4_R3  mur_S4_R3Bas_0   1.5321E-001*sfrad(T1,T2)</t>
  </si>
  <si>
    <t>**echange  mur_S4_R3Bas_0mur_S4_R3Lat_0 NN  mur_S4_R3Bas_0  mur_S4_R3Lat_0   6.1866E-001*sfrad(T1,T2)</t>
  </si>
  <si>
    <t>**echange  B_S4_R2Tube_S4_R3 BV  B_S4_R2  Tube_S4_R3   5.4901E-002*sfrad(T1,T2)</t>
  </si>
  <si>
    <t>**echange  B_S4_R2mur_S4_R3Lat_0 BN  B_S4_R2  mur_S4_R3Lat_0   1.1061E-001*sfrad(T1,T2)</t>
  </si>
  <si>
    <t>**echange  B_S4_R2mur_S4_R3Bas_0 BN  B_S4_R2  mur_S4_R3Bas_0   9.6423E-003*sfrad(T1,T2)</t>
  </si>
  <si>
    <t>**echange  B_S4_R3Tube_S4_R3 BV  B_S4_R3  Tube_S4_R3   5.4871E-002*sfrad(T1,T2)</t>
  </si>
  <si>
    <t>**echange  B_S4_R3mur_S4_R3Lat_0 BN  B_S4_R3  mur_S4_R3Lat_0   1.1064E-001*sfrad(T1,T2)</t>
  </si>
  <si>
    <t>**echange  B_S4_R3mur_S4_R3Bas_0 BN  B_S4_R3  mur_S4_R3Bas_0   9.6376E-003*sfrad(T1,T2)</t>
  </si>
  <si>
    <t>**echange  B_S4_R3B_S4_R2 BB  B_S4_R3  B_S4_R2   2.9806E-002*sfrad(T1,T2)</t>
  </si>
  <si>
    <t>**echange  Tube_S4_R4mur_S4_R4Droit_0 VN  Tube_S4_R4  mur_S4_R4Droit_0   1.8978E-001*sfrad(T1,T2)</t>
  </si>
  <si>
    <t>**echange  Tube_S4_R4mur_S4_R4Lat_0 VN  Tube_S4_R4  mur_S4_R4Lat_0   1.4280E-001*sfrad(T1,T2)</t>
  </si>
  <si>
    <t>**echange  mur_S4_R4Lat_0mur_S4_R4Droit_0 NN  mur_S4_R4Lat_0  mur_S4_R4Droit_0   6.0098E+000*sfrad(T1,T2)</t>
  </si>
  <si>
    <t>**echange  Tube_S4_R4mur_S4_R4Bas_0 VN  Tube_S4_R4  mur_S4_R4Bas_0   1.1546E-001*sfrad(T1,T2)</t>
  </si>
  <si>
    <t>**echange  mur_S4_R4Bas_0mur_S4_R4Droit_0 NN  mur_S4_R4Bas_0  mur_S4_R4Droit_0   4.9756E-001*sfrad(T1,T2)</t>
  </si>
  <si>
    <t>**echange  mur_S4_R4Bas_0mur_S4_R4Lat_0 NN  mur_S4_R4Bas_0  mur_S4_R4Lat_0   4.1884E-001*sfrad(T1,T2)</t>
  </si>
  <si>
    <t>**echange  B_S4_R3Tube_S4_R4 BV  B_S4_R3  Tube_S4_R4   4.1417E-002*sfrad(T1,T2)</t>
  </si>
  <si>
    <t>**echange  B_S4_R3mur_S4_R4Droit_0 BN  B_S4_R3  mur_S4_R4Droit_0   1.0541E-001*sfrad(T1,T2)</t>
  </si>
  <si>
    <t>**echange  B_S4_R3mur_S4_R4Lat_0 BN  B_S4_R3  mur_S4_R4Lat_0   6.3367E-002*sfrad(T1,T2)</t>
  </si>
  <si>
    <t>**echange  B_S4_R3mur_S4_R4Bas_0 BN  B_S4_R3  mur_S4_R4Bas_0   6.1625E-003*sfrad(T1,T2)</t>
  </si>
  <si>
    <t>Chaleur polynomes [J/kg.K]</t>
  </si>
  <si>
    <t>b*Tk</t>
  </si>
  <si>
    <t>c*Tk^2</t>
  </si>
  <si>
    <t>d*Tk^3</t>
  </si>
  <si>
    <t>e*Tk^4</t>
  </si>
  <si>
    <t>Vertical</t>
  </si>
  <si>
    <t>perpendiculaire</t>
  </si>
  <si>
    <t>avec</t>
  </si>
  <si>
    <t>plaque</t>
  </si>
  <si>
    <t>Regeneratif Air</t>
  </si>
  <si>
    <t>Aucun</t>
  </si>
  <si>
    <t>plaques</t>
  </si>
  <si>
    <t>Sur la charge</t>
  </si>
  <si>
    <t>Horizontal</t>
  </si>
  <si>
    <t>parallèle</t>
  </si>
  <si>
    <t>sans</t>
  </si>
  <si>
    <t>rond</t>
  </si>
  <si>
    <t>Air chaud</t>
  </si>
  <si>
    <t>dans la longueur</t>
  </si>
  <si>
    <t>tubes</t>
  </si>
  <si>
    <t>Sur paroi</t>
  </si>
  <si>
    <t>couronne</t>
  </si>
  <si>
    <t>Air froid</t>
  </si>
  <si>
    <t>dans la largeur</t>
  </si>
  <si>
    <t>**echange  Tube_S3_R1mur_S3_R1Lat_0 VN  Tube_S3_R1  mur_S3_R1Lat_0   1.2163E-001*sfrad(T1,T2)</t>
  </si>
  <si>
    <t>**echange  mur_S3_R1Lat_0mur_S3_R1Gauche_0 NN  mur_S3_R1Lat_0  mur_S3_R1Gauche_0   6.1768E+000*sfrad(T1,T2)</t>
  </si>
  <si>
    <t>**echange  Tube_S3_R1mur_S3_R1Haut_0 VN  Tube_S3_R1  mur_S3_R1Haut_0   9.4768E-002*sfrad(T1,T2)</t>
  </si>
  <si>
    <t>**echange  mur_S3_R1Haut_0mur_S3_R1Gauche_0 NN  mur_S3_R1Haut_0  mur_S3_R1Gauche_0   5.1126E-001*sfrad(T1,T2)</t>
  </si>
  <si>
    <t>**echange  mur_S3_R1Haut_0mur_S3_R1Lat_0 NN  mur_S3_R1Haut_0  mur_S3_R1Lat_0   4.3263E-001*sfrad(T1,T2)</t>
  </si>
  <si>
    <t>**echange  B_S3_R1Tube_S3_R1 BV  B_S3_R1  Tube_S3_R1   3.4691E-002*sfrad(T1,T2)</t>
  </si>
  <si>
    <t>**echange  B_S3_R1mur_S3_R1Lat_0 BN  B_S3_R1  mur_S3_R1Lat_0   6.4503E-002*sfrad(T1,T2)</t>
  </si>
  <si>
    <t>**echange  B_S3_R1mur_S3_R1Haut_0 BN  B_S3_R1  mur_S3_R1Haut_0   6.2895E-003*sfrad(T1,T2)</t>
  </si>
  <si>
    <t>**echange  Tube_S3_R2mur_S3_R2Lat_0 VN  Tube_S3_R2  mur_S3_R2Lat_0   2.2580E-001*sfrad(T1,T2)</t>
  </si>
  <si>
    <t>**echange  Tube_S3_R2mur_S3_R2Haut_0 VN  Tube_S3_R2  mur_S3_R2Haut_0   1.7837E-001*sfrad(T1,T2)</t>
  </si>
  <si>
    <t>**echange  mur_S3_R2Haut_0mur_S3_R2Lat_0 NN  mur_S3_R2Haut_0  mur_S3_R2Lat_0   5.9510E-001*sfrad(T1,T2)</t>
  </si>
  <si>
    <t>**echange  B_S3_R1Tube_S3_R2 BV  B_S3_R1  Tube_S3_R2   6.4086E-002*sfrad(T1,T2)</t>
  </si>
  <si>
    <t>**echange  B_S3_R1mur_S3_R2Lat_0 BN  B_S3_R1  mur_S3_R2Lat_0   1.0510E-001*sfrad(T1,T2)</t>
  </si>
  <si>
    <t>**echange  B_S3_R1mur_S3_R2Haut_0 BN  B_S3_R1  mur_S3_R2Haut_0   9.3025E-003*sfrad(T1,T2)</t>
  </si>
  <si>
    <t>**echange  B_S3_R2Tube_S3_R2 BV  B_S3_R2  Tube_S3_R2   6.4008E-002*sfrad(T1,T2)</t>
  </si>
  <si>
    <t>**echange  B_S3_R2mur_S3_R2Haut_0 BN  B_S3_R2  mur_S3_R2Haut_0   9.2681E-003*sfrad(T1,T2)</t>
  </si>
  <si>
    <t>**echange  B_S3_R2B_S3_R1 BB  B_S3_R2  B_S3_R1   2.7830E-002*sfrad(T1,T2)</t>
  </si>
  <si>
    <t>**echange  Tube_S3_R3mur_S3_R3Lat_0 VN  Tube_S3_R3  mur_S3_R3Lat_0   1.9384E-001*sfrad(T1,T2)</t>
  </si>
  <si>
    <t>**echange  Tube_S3_R3mur_S3_R3Haut_0 VN  Tube_S3_R3  mur_S3_R3Haut_0   1.5322E-001*sfrad(T1,T2)</t>
  </si>
  <si>
    <t>**echange  mur_S3_R3Haut_0mur_S3_R3Lat_0 NN  mur_S3_R3Haut_0  mur_S3_R3Lat_0   6.1878E-001*sfrad(T1,T2)</t>
  </si>
  <si>
    <t>**echange  B_S3_R2Tube_S3_R3 BV  B_S3_R2  Tube_S3_R3   5.4900E-002*sfrad(T1,T2)</t>
  </si>
  <si>
    <t>**echange  B_S3_R2mur_S3_R3Haut_0 BN  B_S3_R2  mur_S3_R3Haut_0   9.6434E-003*sfrad(T1,T2)</t>
  </si>
  <si>
    <t>**echange  B_S3_R3Tube_S3_R3 BV  B_S3_R3  Tube_S3_R3   5.4872E-002*sfrad(T1,T2)</t>
  </si>
  <si>
    <t>**echange  B_S3_R3mur_S3_R3Lat_0 BN  B_S3_R3  mur_S3_R3Lat_0   1.1065E-001*sfrad(T1,T2)</t>
  </si>
  <si>
    <t>**echange  B_S3_R3mur_S3_R3Haut_0 BN  B_S3_R3  mur_S3_R3Haut_0   9.6291E-003*sfrad(T1,T2)</t>
  </si>
  <si>
    <t>**echange  B_S3_R3B_S3_R2 BB  B_S3_R3  B_S3_R2   2.9807E-002*sfrad(T1,T2)</t>
  </si>
  <si>
    <t>**echange  Tube_S3_R4mur_S3_R4Droit_0 VN  Tube_S3_R4  mur_S3_R4Droit_0   1.8976E-001*sfrad(T1,T2)</t>
  </si>
  <si>
    <t>**echange  Tube_S3_R4mur_S3_R4Lat_0 VN  Tube_S3_R4  mur_S3_R4Lat_0   1.4281E-001*sfrad(T1,T2)</t>
  </si>
  <si>
    <t>**echange  mur_S3_R4Lat_0mur_S3_R4Droit_0 NN  mur_S3_R4Lat_0  mur_S3_R4Droit_0   6.0103E+000*sfrad(T1,T2)</t>
  </si>
  <si>
    <t>**echange  Tube_S3_R4mur_S3_R4Haut_0 VN  Tube_S3_R4  mur_S3_R4Haut_0   1.1574E-001*sfrad(T1,T2)</t>
  </si>
  <si>
    <t>**echange  mur_S3_R4Haut_0mur_S3_R4Droit_0 NN  mur_S3_R4Haut_0  mur_S3_R4Droit_0   4.9895E-001*sfrad(T1,T2)</t>
  </si>
  <si>
    <t>**echange  mur_S3_R4Haut_0mur_S3_R4Lat_0 NN  mur_S3_R4Haut_0  mur_S3_R4Lat_0   4.1668E-001*sfrad(T1,T2)</t>
  </si>
  <si>
    <t>**echange  B_S3_R3Tube_S3_R4 BV  B_S3_R3  Tube_S3_R4   4.1414E-002*sfrad(T1,T2)</t>
  </si>
  <si>
    <t>**echange  B_S3_R3mur_S3_R4Droit_0 BN  B_S3_R3  mur_S3_R4Droit_0   1.0540E-001*sfrad(T1,T2)</t>
  </si>
  <si>
    <t>**echange  B_S3_R3mur_S3_R4Lat_0 BN  B_S3_R3  mur_S3_R4Lat_0   6.3375E-002*sfrad(T1,T2)</t>
  </si>
  <si>
    <t>**echange  B_S3_R3mur_S3_R4Haut_0 BN  B_S3_R3  mur_S3_R4Haut_0   6.1729E-003*sfrad(T1,T2)</t>
  </si>
  <si>
    <t>~ WORKING CONDITIONS ~</t>
  </si>
  <si>
    <t>Products data</t>
  </si>
  <si>
    <t>Steel grade</t>
  </si>
  <si>
    <t>825</t>
  </si>
  <si>
    <t>Width</t>
  </si>
  <si>
    <t>Thickness</t>
  </si>
  <si>
    <t>Productivity</t>
  </si>
  <si>
    <t>t/h</t>
  </si>
  <si>
    <t>~ GLOBAL THERMAL BALANCE ~</t>
  </si>
  <si>
    <t>Efficiencies</t>
  </si>
  <si>
    <t>Global efficiency</t>
  </si>
  <si>
    <t>Combustion efficiency</t>
  </si>
  <si>
    <t>Specific consumption</t>
  </si>
  <si>
    <t>kWh/t</t>
  </si>
  <si>
    <t>MJ/t</t>
  </si>
  <si>
    <t>Heat balance : INPUTS</t>
  </si>
  <si>
    <t>Heat balance : OUTPUTS</t>
  </si>
  <si>
    <t>Products</t>
  </si>
  <si>
    <t>Fluids at TOP</t>
  </si>
  <si>
    <t>Fuel</t>
  </si>
  <si>
    <t>Comburant</t>
  </si>
  <si>
    <t>Combustion</t>
  </si>
  <si>
    <t>TOTAL</t>
  </si>
  <si>
    <r>
      <rPr>
        <i/>
        <sz val="12"/>
        <rFont val="Calibri"/>
        <family val="2"/>
      </rPr>
      <t>ε</t>
    </r>
    <r>
      <rPr>
        <i/>
        <sz val="12"/>
        <rFont val="Arial"/>
        <family val="2"/>
      </rPr>
      <t xml:space="preserve"> </t>
    </r>
  </si>
  <si>
    <t>Pertes fumées</t>
  </si>
  <si>
    <t>Pertes murs</t>
  </si>
  <si>
    <t>Temperature</t>
  </si>
  <si>
    <t>Temperature entree</t>
  </si>
  <si>
    <t>Temperature Sortie</t>
  </si>
  <si>
    <t>~ Zone ~</t>
  </si>
  <si>
    <t>Numero Zone</t>
  </si>
  <si>
    <t>Debit gaz</t>
  </si>
  <si>
    <t>Debit air</t>
  </si>
  <si>
    <t>Temp fumee</t>
  </si>
  <si>
    <t>Energie combustion</t>
  </si>
  <si>
    <t>Pertes fumees</t>
  </si>
  <si>
    <t>Debit gaz par tube</t>
  </si>
  <si>
    <t>Debit Air par tube</t>
  </si>
  <si>
    <t>Puissance Tube</t>
  </si>
  <si>
    <t>Reelle zone</t>
  </si>
  <si>
    <t>Section</t>
  </si>
  <si>
    <t>Rangee</t>
  </si>
  <si>
    <t>Tubes Type</t>
  </si>
  <si>
    <t>A [m]</t>
  </si>
  <si>
    <t>B [m]</t>
  </si>
  <si>
    <t>C [m]</t>
  </si>
  <si>
    <t>D [m]</t>
  </si>
  <si>
    <t>1er abs. tube</t>
  </si>
  <si>
    <t>Distance S-T</t>
  </si>
  <si>
    <t>Tubes pitch</t>
  </si>
  <si>
    <t>Tube Nber</t>
  </si>
  <si>
    <t>Tubes [°C]</t>
  </si>
  <si>
    <t>Efficiency</t>
  </si>
  <si>
    <t>Emissivity S.</t>
  </si>
  <si>
    <t>Fuels data</t>
  </si>
  <si>
    <t>Comburant data</t>
  </si>
  <si>
    <t>Fuel n°1</t>
  </si>
  <si>
    <t>Combustion characteristics</t>
  </si>
  <si>
    <t>Comburants composition</t>
  </si>
  <si>
    <t>%vol.</t>
  </si>
  <si>
    <t>Wobbe index</t>
  </si>
  <si>
    <t>MJ/Nm3</t>
  </si>
  <si>
    <t>Lower calorific value</t>
  </si>
  <si>
    <t>kJ/Nm3</t>
  </si>
  <si>
    <t>Density</t>
  </si>
  <si>
    <t>kg/Nm3</t>
  </si>
  <si>
    <t>Nm3/Nm3</t>
  </si>
  <si>
    <t>Temperature at TOP</t>
  </si>
  <si>
    <t xml:space="preserve">Fuel </t>
  </si>
  <si>
    <t>Fuel composition</t>
  </si>
  <si>
    <t xml:space="preserve">Comb </t>
  </si>
  <si>
    <t>Exces d'air</t>
  </si>
  <si>
    <t>tata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</si>
</sst>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&quot;[J/kg.K] à&quot;\ 0\ \ &quot;Kelvin&quot;"/>
    <numFmt numFmtId="165" formatCode="0.0000E+00"/>
    <numFmt numFmtId="166" formatCode="0.0000"/>
    <numFmt numFmtId="167" formatCode="0.000"/>
    <numFmt numFmtId="168" formatCode="0.0"/>
    <numFmt numFmtId="169" formatCode="0.00_)"/>
    <numFmt numFmtId="170" formatCode="#,##0.000_);\(#,##0.000\)"/>
    <numFmt numFmtId="171" formatCode="0.0&quot; kW&quot;"/>
    <numFmt numFmtId="172" formatCode="0.0&quot; Nm3/h&quot;"/>
    <numFmt numFmtId="173" formatCode="_-* #,##0.00\ [$€]_-;\-* #,##0.00\ [$€]_-;_-* &quot;-&quot;??\ [$€]_-;_-@_-"/>
    <numFmt numFmtId="174" formatCode="#,##0.00_ ;\-#,##0.00\ "/>
    <numFmt numFmtId="175" formatCode="_-* #,##0.00\ _F_-;\-* #,##0.00\ _F_-;_-* &quot;-&quot;??\ _F_-;_-@_-"/>
    <numFmt numFmtId="176" formatCode="_-* #,##0.0\ _F_-;\-* #,##0.0\ _F_-;_-* &quot;-&quot;??\ _F_-;_-@_-"/>
    <numFmt numFmtId="177" formatCode="0.0%"/>
    <numFmt numFmtId="178" formatCode="&quot;Real zone=&quot;\ #"/>
    <numFmt numFmtId="179" formatCode="#,##0.0_ ;\-#,##0.0\ "/>
  </numFmts>
  <fonts count="45" x14ac:knownFonts="1">
    <font>
      <sz val="10"/>
      <name val="Arial"/>
    </font>
    <font>
      <sz val="8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vertAlign val="superscript"/>
      <sz val="12"/>
      <name val="Arial"/>
      <family val="2"/>
    </font>
    <font>
      <b/>
      <u/>
      <sz val="12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0"/>
      <color indexed="55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22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name val="Trebuchet MS"/>
      <family val="2"/>
    </font>
    <font>
      <i/>
      <sz val="10"/>
      <color indexed="55"/>
      <name val="Arial"/>
      <family val="2"/>
    </font>
    <font>
      <i/>
      <sz val="10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  <font>
      <b/>
      <u/>
      <sz val="10"/>
      <color rgb="FF000000"/>
      <name val="Arial"/>
      <family val="2"/>
    </font>
    <font>
      <sz val="10"/>
      <name val="Arial"/>
    </font>
    <font>
      <i/>
      <sz val="12"/>
      <name val="Arial"/>
      <family val="2"/>
    </font>
    <font>
      <b/>
      <sz val="12"/>
      <color theme="3" tint="-0.249977111117893"/>
      <name val="Arial"/>
      <family val="2"/>
    </font>
    <font>
      <sz val="12"/>
      <name val="Georgia"/>
      <family val="1"/>
    </font>
    <font>
      <b/>
      <sz val="12"/>
      <color theme="3" tint="-0.249977111117893"/>
      <name val="Georgia"/>
      <family val="1"/>
    </font>
    <font>
      <i/>
      <sz val="12"/>
      <name val="Calibri"/>
      <family val="2"/>
    </font>
    <font>
      <b/>
      <sz val="10"/>
      <color theme="3" tint="-0.249977111117893"/>
      <name val="Arial"/>
      <family val="2"/>
    </font>
    <font>
      <sz val="10"/>
      <name val="Georgia"/>
      <family val="1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66"/>
        <bgColor indexed="64"/>
      </pattern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gradientFill degree="180">
        <stop position="0">
          <color theme="0"/>
        </stop>
        <stop position="1">
          <color theme="3" tint="0.80001220740379042"/>
        </stop>
      </gradientFill>
    </fill>
    <fill>
      <patternFill patternType="solid">
        <fgColor theme="0"/>
        <bgColor auto="1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n">
        <color indexed="23"/>
      </bottom>
      <diagonal/>
    </border>
  </borders>
  <cellStyleXfs count="7">
    <xf numFmtId="0" fontId="0" fillId="0" borderId="0"/>
    <xf numFmtId="0" fontId="23" fillId="0" borderId="0"/>
    <xf numFmtId="173" fontId="9" fillId="0" borderId="0"/>
    <xf numFmtId="174" fontId="9" fillId="0" borderId="0"/>
    <xf numFmtId="174" fontId="37" fillId="0" borderId="0"/>
    <xf numFmtId="9" fontId="9" fillId="0" borderId="0" applyFont="0" applyFill="0" applyBorder="0" applyAlignment="0" applyProtection="0"/>
    <xf numFmtId="175" fontId="9" fillId="0" borderId="0" applyFont="0" applyFill="0" applyBorder="0" applyAlignment="0" applyProtection="0"/>
  </cellStyleXfs>
  <cellXfs count="569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11" fontId="2" fillId="2" borderId="0" xfId="0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4" fontId="2" fillId="3" borderId="0" xfId="0" applyNumberFormat="1" applyFont="1" applyFill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168" fontId="2" fillId="2" borderId="0" xfId="0" applyNumberFormat="1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1" fontId="2" fillId="2" borderId="1" xfId="0" applyNumberFormat="1" applyFont="1" applyFill="1" applyBorder="1" applyAlignment="1">
      <alignment horizontal="center" vertical="center"/>
    </xf>
    <xf numFmtId="165" fontId="2" fillId="2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/>
    </xf>
    <xf numFmtId="168" fontId="8" fillId="0" borderId="0" xfId="0" applyNumberFormat="1" applyFont="1" applyAlignment="1">
      <alignment horizontal="right"/>
    </xf>
    <xf numFmtId="168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168" fontId="8" fillId="0" borderId="0" xfId="0" applyNumberFormat="1" applyFont="1" applyAlignment="1">
      <alignment horizontal="center"/>
    </xf>
    <xf numFmtId="0" fontId="8" fillId="4" borderId="16" xfId="0" applyFont="1" applyFill="1" applyBorder="1" applyAlignment="1">
      <alignment horizontal="left"/>
    </xf>
    <xf numFmtId="168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8" fillId="2" borderId="0" xfId="0" applyFont="1" applyFill="1" applyProtection="1">
      <protection locked="0"/>
    </xf>
    <xf numFmtId="0" fontId="9" fillId="2" borderId="0" xfId="0" applyFont="1" applyFill="1" applyProtection="1">
      <protection locked="0"/>
    </xf>
    <xf numFmtId="0" fontId="0" fillId="2" borderId="0" xfId="0" applyFill="1"/>
    <xf numFmtId="0" fontId="0" fillId="2" borderId="0" xfId="0" applyFill="1" applyAlignment="1">
      <alignment horizontal="center"/>
    </xf>
    <xf numFmtId="0" fontId="13" fillId="3" borderId="9" xfId="0" applyFont="1" applyFill="1" applyBorder="1"/>
    <xf numFmtId="0" fontId="0" fillId="3" borderId="9" xfId="0" applyFill="1" applyBorder="1"/>
    <xf numFmtId="0" fontId="13" fillId="3" borderId="17" xfId="0" applyFont="1" applyFill="1" applyBorder="1"/>
    <xf numFmtId="0" fontId="0" fillId="3" borderId="9" xfId="0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0" fontId="0" fillId="3" borderId="18" xfId="0" applyFill="1" applyBorder="1"/>
    <xf numFmtId="0" fontId="0" fillId="2" borderId="19" xfId="0" applyFill="1" applyBorder="1" applyAlignment="1">
      <alignment horizontal="center"/>
    </xf>
    <xf numFmtId="0" fontId="8" fillId="2" borderId="0" xfId="0" applyFont="1" applyFill="1" applyAlignment="1">
      <alignment horizontal="right"/>
    </xf>
    <xf numFmtId="0" fontId="0" fillId="2" borderId="20" xfId="0" applyFill="1" applyBorder="1"/>
    <xf numFmtId="2" fontId="0" fillId="2" borderId="0" xfId="0" applyNumberFormat="1" applyFill="1" applyAlignment="1">
      <alignment horizontal="center"/>
    </xf>
    <xf numFmtId="0" fontId="8" fillId="2" borderId="0" xfId="0" applyFont="1" applyFill="1" applyAlignment="1">
      <alignment horizontal="center"/>
    </xf>
    <xf numFmtId="168" fontId="0" fillId="2" borderId="21" xfId="0" applyNumberFormat="1" applyFill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19" xfId="0" applyFont="1" applyFill="1" applyBorder="1" applyAlignment="1">
      <alignment horizontal="center"/>
    </xf>
    <xf numFmtId="168" fontId="0" fillId="2" borderId="0" xfId="0" quotePrefix="1" applyNumberFormat="1" applyFill="1" applyAlignment="1">
      <alignment horizontal="left"/>
    </xf>
    <xf numFmtId="168" fontId="14" fillId="2" borderId="0" xfId="0" applyNumberFormat="1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/>
    <xf numFmtId="168" fontId="0" fillId="3" borderId="9" xfId="0" applyNumberFormat="1" applyFill="1" applyBorder="1" applyAlignment="1">
      <alignment horizontal="center"/>
    </xf>
    <xf numFmtId="168" fontId="0" fillId="2" borderId="0" xfId="0" applyNumberFormat="1" applyFill="1" applyAlignment="1">
      <alignment horizontal="left"/>
    </xf>
    <xf numFmtId="168" fontId="0" fillId="2" borderId="0" xfId="0" applyNumberFormat="1" applyFill="1" applyAlignment="1">
      <alignment horizontal="right"/>
    </xf>
    <xf numFmtId="168" fontId="0" fillId="2" borderId="0" xfId="0" quotePrefix="1" applyNumberFormat="1" applyFill="1" applyAlignment="1">
      <alignment horizontal="center"/>
    </xf>
    <xf numFmtId="0" fontId="0" fillId="2" borderId="19" xfId="0" applyFill="1" applyBorder="1"/>
    <xf numFmtId="168" fontId="0" fillId="2" borderId="21" xfId="0" applyNumberFormat="1" applyFill="1" applyBorder="1"/>
    <xf numFmtId="0" fontId="3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68" fontId="2" fillId="2" borderId="0" xfId="0" applyNumberFormat="1" applyFont="1" applyFill="1" applyAlignment="1">
      <alignment horizontal="center"/>
    </xf>
    <xf numFmtId="168" fontId="0" fillId="0" borderId="22" xfId="0" quotePrefix="1" applyNumberFormat="1" applyBorder="1" applyAlignment="1">
      <alignment horizontal="center"/>
    </xf>
    <xf numFmtId="0" fontId="8" fillId="0" borderId="0" xfId="0" applyFont="1" applyAlignment="1">
      <alignment horizontal="right"/>
    </xf>
    <xf numFmtId="1" fontId="15" fillId="0" borderId="0" xfId="0" applyNumberFormat="1" applyFont="1" applyAlignment="1">
      <alignment horizontal="center"/>
    </xf>
    <xf numFmtId="168" fontId="2" fillId="3" borderId="0" xfId="0" applyNumberFormat="1" applyFont="1" applyFill="1" applyAlignment="1">
      <alignment horizontal="left" vertical="center"/>
    </xf>
    <xf numFmtId="168" fontId="2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0" fillId="2" borderId="0" xfId="0" applyNumberFormat="1" applyFill="1"/>
    <xf numFmtId="1" fontId="2" fillId="2" borderId="0" xfId="0" applyNumberFormat="1" applyFont="1" applyFill="1"/>
    <xf numFmtId="168" fontId="2" fillId="2" borderId="0" xfId="0" applyNumberFormat="1" applyFont="1" applyFill="1"/>
    <xf numFmtId="0" fontId="0" fillId="2" borderId="2" xfId="0" applyFill="1" applyBorder="1"/>
    <xf numFmtId="0" fontId="0" fillId="0" borderId="23" xfId="0" applyBorder="1"/>
    <xf numFmtId="0" fontId="0" fillId="5" borderId="24" xfId="0" applyFill="1" applyBorder="1"/>
    <xf numFmtId="0" fontId="0" fillId="5" borderId="25" xfId="0" applyFill="1" applyBorder="1"/>
    <xf numFmtId="0" fontId="8" fillId="0" borderId="26" xfId="0" applyFont="1" applyBorder="1"/>
    <xf numFmtId="0" fontId="0" fillId="5" borderId="27" xfId="0" applyFill="1" applyBorder="1"/>
    <xf numFmtId="0" fontId="0" fillId="5" borderId="24" xfId="0" applyFill="1" applyBorder="1" applyAlignment="1">
      <alignment vertical="center" wrapText="1"/>
    </xf>
    <xf numFmtId="0" fontId="0" fillId="0" borderId="24" xfId="0" applyBorder="1"/>
    <xf numFmtId="2" fontId="0" fillId="0" borderId="0" xfId="0" applyNumberFormat="1"/>
    <xf numFmtId="0" fontId="0" fillId="5" borderId="28" xfId="0" applyFill="1" applyBorder="1"/>
    <xf numFmtId="0" fontId="0" fillId="0" borderId="28" xfId="0" applyBorder="1"/>
    <xf numFmtId="0" fontId="12" fillId="0" borderId="29" xfId="0" applyFont="1" applyBorder="1"/>
    <xf numFmtId="0" fontId="12" fillId="0" borderId="0" xfId="0" applyFont="1"/>
    <xf numFmtId="0" fontId="0" fillId="0" borderId="26" xfId="0" applyBorder="1"/>
    <xf numFmtId="0" fontId="0" fillId="5" borderId="0" xfId="0" applyFill="1"/>
    <xf numFmtId="0" fontId="8" fillId="5" borderId="0" xfId="0" applyFont="1" applyFill="1"/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31" xfId="0" applyBorder="1" applyAlignment="1">
      <alignment horizontal="center"/>
    </xf>
    <xf numFmtId="168" fontId="0" fillId="0" borderId="0" xfId="0" quotePrefix="1" applyNumberFormat="1" applyAlignment="1">
      <alignment horizontal="center"/>
    </xf>
    <xf numFmtId="2" fontId="8" fillId="0" borderId="0" xfId="0" applyNumberFormat="1" applyFont="1" applyAlignment="1">
      <alignment horizontal="center"/>
    </xf>
    <xf numFmtId="0" fontId="0" fillId="0" borderId="27" xfId="0" applyBorder="1" applyAlignment="1">
      <alignment horizontal="left"/>
    </xf>
    <xf numFmtId="0" fontId="9" fillId="0" borderId="24" xfId="0" applyFont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2" xfId="0" applyBorder="1" applyAlignment="1">
      <alignment horizontal="center"/>
    </xf>
    <xf numFmtId="0" fontId="8" fillId="6" borderId="16" xfId="0" applyFont="1" applyFill="1" applyBorder="1" applyAlignment="1">
      <alignment horizontal="left"/>
    </xf>
    <xf numFmtId="0" fontId="0" fillId="0" borderId="33" xfId="0" applyBorder="1" applyAlignment="1">
      <alignment horizontal="center"/>
    </xf>
    <xf numFmtId="0" fontId="0" fillId="0" borderId="33" xfId="0" applyBorder="1" applyAlignment="1">
      <alignment horizontal="left"/>
    </xf>
    <xf numFmtId="11" fontId="0" fillId="0" borderId="30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67" fontId="2" fillId="0" borderId="31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left"/>
    </xf>
    <xf numFmtId="168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2" fillId="0" borderId="22" xfId="0" applyNumberFormat="1" applyFont="1" applyBorder="1" applyAlignment="1">
      <alignment horizontal="center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8" fillId="0" borderId="34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11" xfId="0" applyBorder="1" applyAlignment="1">
      <alignment horizontal="center"/>
    </xf>
    <xf numFmtId="0" fontId="8" fillId="7" borderId="16" xfId="0" applyFont="1" applyFill="1" applyBorder="1" applyAlignment="1">
      <alignment horizontal="left"/>
    </xf>
    <xf numFmtId="0" fontId="8" fillId="0" borderId="24" xfId="0" applyFont="1" applyBorder="1" applyAlignment="1">
      <alignment horizontal="left"/>
    </xf>
    <xf numFmtId="168" fontId="12" fillId="0" borderId="0" xfId="0" applyNumberFormat="1" applyFont="1" applyAlignment="1">
      <alignment horizontal="center"/>
    </xf>
    <xf numFmtId="168" fontId="8" fillId="2" borderId="16" xfId="0" applyNumberFormat="1" applyFont="1" applyFill="1" applyBorder="1" applyAlignment="1">
      <alignment horizontal="center"/>
    </xf>
    <xf numFmtId="0" fontId="8" fillId="2" borderId="3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/>
    </xf>
    <xf numFmtId="168" fontId="8" fillId="2" borderId="35" xfId="0" applyNumberFormat="1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168" fontId="8" fillId="2" borderId="18" xfId="0" applyNumberFormat="1" applyFont="1" applyFill="1" applyBorder="1" applyAlignment="1">
      <alignment horizontal="center"/>
    </xf>
    <xf numFmtId="0" fontId="11" fillId="8" borderId="16" xfId="0" applyFont="1" applyFill="1" applyBorder="1" applyAlignment="1">
      <alignment horizontal="left"/>
    </xf>
    <xf numFmtId="0" fontId="11" fillId="9" borderId="16" xfId="0" applyFont="1" applyFill="1" applyBorder="1" applyAlignment="1">
      <alignment horizontal="left"/>
    </xf>
    <xf numFmtId="2" fontId="18" fillId="2" borderId="16" xfId="0" applyNumberFormat="1" applyFont="1" applyFill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0" fontId="16" fillId="2" borderId="0" xfId="0" applyFont="1" applyFill="1"/>
    <xf numFmtId="0" fontId="20" fillId="2" borderId="0" xfId="0" applyFont="1" applyFill="1"/>
    <xf numFmtId="0" fontId="16" fillId="2" borderId="0" xfId="0" applyFont="1" applyFill="1" applyAlignment="1">
      <alignment horizontal="center"/>
    </xf>
    <xf numFmtId="0" fontId="16" fillId="2" borderId="0" xfId="0" applyFont="1" applyFill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left"/>
    </xf>
    <xf numFmtId="0" fontId="16" fillId="0" borderId="1" xfId="1" applyFont="1" applyBorder="1" applyAlignment="1">
      <alignment horizontal="center"/>
    </xf>
    <xf numFmtId="0" fontId="13" fillId="10" borderId="36" xfId="1" applyFont="1" applyFill="1" applyBorder="1" applyAlignment="1">
      <alignment horizontal="center"/>
    </xf>
    <xf numFmtId="0" fontId="16" fillId="0" borderId="37" xfId="1" applyFont="1" applyBorder="1" applyAlignment="1">
      <alignment horizontal="center"/>
    </xf>
    <xf numFmtId="0" fontId="16" fillId="0" borderId="38" xfId="1" applyFont="1" applyBorder="1" applyAlignment="1">
      <alignment horizontal="center"/>
    </xf>
    <xf numFmtId="0" fontId="13" fillId="11" borderId="12" xfId="1" applyFont="1" applyFill="1" applyBorder="1" applyAlignment="1">
      <alignment horizontal="centerContinuous"/>
    </xf>
    <xf numFmtId="0" fontId="16" fillId="0" borderId="6" xfId="1" applyFont="1" applyBorder="1" applyAlignment="1">
      <alignment horizontal="centerContinuous"/>
    </xf>
    <xf numFmtId="0" fontId="13" fillId="12" borderId="39" xfId="1" applyFont="1" applyFill="1" applyBorder="1" applyAlignment="1">
      <alignment horizontal="centerContinuous"/>
    </xf>
    <xf numFmtId="0" fontId="13" fillId="12" borderId="36" xfId="1" applyFont="1" applyFill="1" applyBorder="1" applyAlignment="1">
      <alignment horizontal="centerContinuous"/>
    </xf>
    <xf numFmtId="0" fontId="23" fillId="0" borderId="0" xfId="1"/>
    <xf numFmtId="0" fontId="16" fillId="0" borderId="40" xfId="1" applyFont="1" applyBorder="1" applyAlignment="1">
      <alignment horizontal="center"/>
    </xf>
    <xf numFmtId="169" fontId="16" fillId="0" borderId="40" xfId="1" applyNumberFormat="1" applyFont="1" applyBorder="1" applyAlignment="1">
      <alignment horizontal="center"/>
    </xf>
    <xf numFmtId="0" fontId="16" fillId="0" borderId="0" xfId="1" applyFont="1" applyAlignment="1">
      <alignment horizontal="center"/>
    </xf>
    <xf numFmtId="0" fontId="21" fillId="0" borderId="7" xfId="1" applyFont="1" applyBorder="1" applyAlignment="1">
      <alignment horizontal="center"/>
    </xf>
    <xf numFmtId="0" fontId="22" fillId="0" borderId="8" xfId="1" applyFont="1" applyBorder="1" applyAlignment="1">
      <alignment horizontal="center" vertical="center"/>
    </xf>
    <xf numFmtId="0" fontId="16" fillId="0" borderId="2" xfId="1" applyFont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2" fillId="0" borderId="2" xfId="1" applyFont="1" applyBorder="1" applyAlignment="1">
      <alignment horizontal="center"/>
    </xf>
    <xf numFmtId="11" fontId="16" fillId="0" borderId="0" xfId="1" applyNumberFormat="1" applyFont="1" applyAlignment="1">
      <alignment horizontal="center"/>
    </xf>
    <xf numFmtId="0" fontId="22" fillId="0" borderId="3" xfId="1" applyFont="1" applyBorder="1" applyAlignment="1">
      <alignment horizontal="center"/>
    </xf>
    <xf numFmtId="166" fontId="16" fillId="0" borderId="2" xfId="1" applyNumberFormat="1" applyFont="1" applyBorder="1" applyAlignment="1">
      <alignment horizontal="center"/>
    </xf>
    <xf numFmtId="0" fontId="16" fillId="0" borderId="41" xfId="1" applyFont="1" applyBorder="1" applyAlignment="1">
      <alignment horizontal="center"/>
    </xf>
    <xf numFmtId="169" fontId="16" fillId="0" borderId="41" xfId="1" applyNumberFormat="1" applyFont="1" applyBorder="1" applyAlignment="1">
      <alignment horizontal="center"/>
    </xf>
    <xf numFmtId="0" fontId="16" fillId="0" borderId="42" xfId="1" applyFont="1" applyBorder="1" applyAlignment="1">
      <alignment horizontal="center"/>
    </xf>
    <xf numFmtId="170" fontId="16" fillId="0" borderId="0" xfId="1" applyNumberFormat="1" applyFont="1" applyAlignment="1">
      <alignment horizontal="center"/>
    </xf>
    <xf numFmtId="11" fontId="16" fillId="0" borderId="1" xfId="1" applyNumberFormat="1" applyFont="1" applyBorder="1" applyAlignment="1">
      <alignment horizontal="center"/>
    </xf>
    <xf numFmtId="166" fontId="16" fillId="0" borderId="5" xfId="1" applyNumberFormat="1" applyFont="1" applyBorder="1" applyAlignment="1">
      <alignment horizontal="center"/>
    </xf>
    <xf numFmtId="0" fontId="22" fillId="0" borderId="4" xfId="1" applyFont="1" applyBorder="1" applyAlignment="1">
      <alignment horizontal="center"/>
    </xf>
    <xf numFmtId="0" fontId="22" fillId="0" borderId="5" xfId="1" applyFont="1" applyBorder="1" applyAlignment="1">
      <alignment horizontal="center" vertical="center"/>
    </xf>
    <xf numFmtId="0" fontId="23" fillId="0" borderId="43" xfId="1" applyBorder="1"/>
    <xf numFmtId="2" fontId="0" fillId="0" borderId="31" xfId="0" applyNumberForma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22" fontId="0" fillId="0" borderId="0" xfId="0" applyNumberFormat="1"/>
    <xf numFmtId="21" fontId="0" fillId="0" borderId="0" xfId="0" applyNumberFormat="1"/>
    <xf numFmtId="1" fontId="0" fillId="0" borderId="0" xfId="0" applyNumberFormat="1"/>
    <xf numFmtId="1" fontId="9" fillId="0" borderId="0" xfId="0" applyNumberFormat="1" applyFont="1"/>
    <xf numFmtId="0" fontId="0" fillId="0" borderId="0" xfId="0" quotePrefix="1"/>
    <xf numFmtId="168" fontId="8" fillId="2" borderId="0" xfId="0" applyNumberFormat="1" applyFont="1" applyFill="1" applyAlignment="1">
      <alignment horizontal="right"/>
    </xf>
    <xf numFmtId="0" fontId="8" fillId="2" borderId="0" xfId="0" applyFont="1" applyFill="1"/>
    <xf numFmtId="168" fontId="13" fillId="3" borderId="9" xfId="0" applyNumberFormat="1" applyFont="1" applyFill="1" applyBorder="1" applyAlignment="1">
      <alignment horizontal="left"/>
    </xf>
    <xf numFmtId="168" fontId="0" fillId="2" borderId="44" xfId="0" applyNumberFormat="1" applyFill="1" applyBorder="1" applyAlignment="1">
      <alignment horizontal="center"/>
    </xf>
    <xf numFmtId="168" fontId="0" fillId="2" borderId="45" xfId="0" applyNumberFormat="1" applyFill="1" applyBorder="1" applyAlignment="1">
      <alignment horizontal="center"/>
    </xf>
    <xf numFmtId="0" fontId="8" fillId="2" borderId="0" xfId="0" applyFont="1" applyFill="1" applyAlignment="1">
      <alignment horizontal="left"/>
    </xf>
    <xf numFmtId="168" fontId="9" fillId="2" borderId="0" xfId="0" applyNumberFormat="1" applyFont="1" applyFill="1" applyAlignment="1" applyProtection="1">
      <alignment horizontal="left"/>
      <protection locked="0"/>
    </xf>
    <xf numFmtId="168" fontId="9" fillId="2" borderId="0" xfId="0" applyNumberFormat="1" applyFont="1" applyFill="1" applyAlignment="1">
      <alignment horizontal="left"/>
    </xf>
    <xf numFmtId="0" fontId="4" fillId="2" borderId="1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7" fontId="9" fillId="2" borderId="0" xfId="0" applyNumberFormat="1" applyFont="1" applyFill="1" applyAlignment="1">
      <alignment horizontal="right"/>
    </xf>
    <xf numFmtId="168" fontId="9" fillId="2" borderId="0" xfId="0" applyNumberFormat="1" applyFont="1" applyFill="1" applyAlignment="1">
      <alignment horizontal="right"/>
    </xf>
    <xf numFmtId="0" fontId="9" fillId="2" borderId="0" xfId="0" applyFont="1" applyFill="1" applyAlignment="1">
      <alignment horizontal="right"/>
    </xf>
    <xf numFmtId="1" fontId="0" fillId="2" borderId="0" xfId="0" applyNumberFormat="1" applyFill="1"/>
    <xf numFmtId="168" fontId="9" fillId="2" borderId="0" xfId="0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right"/>
    </xf>
    <xf numFmtId="168" fontId="2" fillId="2" borderId="0" xfId="0" quotePrefix="1" applyNumberFormat="1" applyFont="1" applyFill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11" borderId="0" xfId="0" applyFill="1"/>
    <xf numFmtId="167" fontId="0" fillId="0" borderId="33" xfId="0" applyNumberFormat="1" applyBorder="1" applyAlignment="1">
      <alignment horizontal="center"/>
    </xf>
    <xf numFmtId="0" fontId="0" fillId="0" borderId="0" xfId="0" applyAlignment="1">
      <alignment horizontal="right"/>
    </xf>
    <xf numFmtId="1" fontId="0" fillId="0" borderId="33" xfId="0" applyNumberFormat="1" applyBorder="1" applyAlignment="1">
      <alignment horizontal="center"/>
    </xf>
    <xf numFmtId="0" fontId="0" fillId="2" borderId="3" xfId="0" applyFill="1" applyBorder="1"/>
    <xf numFmtId="0" fontId="0" fillId="2" borderId="3" xfId="0" applyFill="1" applyBorder="1" applyAlignment="1">
      <alignment horizontal="right"/>
    </xf>
    <xf numFmtId="1" fontId="0" fillId="2" borderId="2" xfId="0" applyNumberFormat="1" applyFill="1" applyBorder="1" applyAlignment="1">
      <alignment horizontal="center"/>
    </xf>
    <xf numFmtId="0" fontId="0" fillId="2" borderId="4" xfId="0" applyFill="1" applyBorder="1" applyAlignment="1">
      <alignment horizontal="right"/>
    </xf>
    <xf numFmtId="1" fontId="0" fillId="2" borderId="5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6" xfId="0" applyFill="1" applyBorder="1" applyAlignment="1">
      <alignment horizontal="right"/>
    </xf>
    <xf numFmtId="0" fontId="0" fillId="2" borderId="47" xfId="0" applyFill="1" applyBorder="1"/>
    <xf numFmtId="0" fontId="0" fillId="2" borderId="46" xfId="0" applyFill="1" applyBorder="1"/>
    <xf numFmtId="1" fontId="0" fillId="2" borderId="47" xfId="0" applyNumberFormat="1" applyFill="1" applyBorder="1" applyAlignment="1">
      <alignment horizontal="center"/>
    </xf>
    <xf numFmtId="0" fontId="0" fillId="2" borderId="48" xfId="0" applyFill="1" applyBorder="1"/>
    <xf numFmtId="0" fontId="0" fillId="2" borderId="49" xfId="0" applyFill="1" applyBorder="1"/>
    <xf numFmtId="0" fontId="0" fillId="2" borderId="4" xfId="0" applyFill="1" applyBorder="1"/>
    <xf numFmtId="1" fontId="0" fillId="13" borderId="2" xfId="0" applyNumberFormat="1" applyFill="1" applyBorder="1" applyAlignment="1">
      <alignment horizontal="center"/>
    </xf>
    <xf numFmtId="1" fontId="0" fillId="13" borderId="5" xfId="0" applyNumberFormat="1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2" borderId="7" xfId="0" applyFill="1" applyBorder="1" applyAlignment="1">
      <alignment horizontal="right"/>
    </xf>
    <xf numFmtId="0" fontId="17" fillId="11" borderId="0" xfId="0" applyFont="1" applyFill="1" applyAlignment="1">
      <alignment horizontal="left"/>
    </xf>
    <xf numFmtId="0" fontId="9" fillId="11" borderId="0" xfId="0" applyFont="1" applyFill="1" applyProtection="1">
      <protection locked="0"/>
    </xf>
    <xf numFmtId="0" fontId="8" fillId="11" borderId="0" xfId="0" applyFont="1" applyFill="1" applyAlignment="1">
      <alignment horizontal="left"/>
    </xf>
    <xf numFmtId="0" fontId="8" fillId="11" borderId="0" xfId="0" applyFont="1" applyFill="1" applyProtection="1">
      <protection locked="0"/>
    </xf>
    <xf numFmtId="0" fontId="9" fillId="11" borderId="0" xfId="0" applyFont="1" applyFill="1" applyAlignment="1" applyProtection="1">
      <alignment horizontal="center"/>
      <protection locked="0"/>
    </xf>
    <xf numFmtId="0" fontId="5" fillId="11" borderId="0" xfId="0" applyFont="1" applyFill="1" applyAlignment="1" applyProtection="1">
      <alignment horizontal="center"/>
      <protection locked="0"/>
    </xf>
    <xf numFmtId="0" fontId="10" fillId="11" borderId="0" xfId="0" applyFont="1" applyFill="1" applyAlignment="1" applyProtection="1">
      <alignment horizontal="center"/>
      <protection locked="0"/>
    </xf>
    <xf numFmtId="0" fontId="11" fillId="11" borderId="0" xfId="0" applyFont="1" applyFill="1" applyAlignment="1" applyProtection="1">
      <alignment horizontal="left"/>
      <protection locked="0"/>
    </xf>
    <xf numFmtId="0" fontId="0" fillId="11" borderId="7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11" borderId="3" xfId="0" applyFill="1" applyBorder="1"/>
    <xf numFmtId="0" fontId="0" fillId="11" borderId="2" xfId="0" applyFill="1" applyBorder="1"/>
    <xf numFmtId="0" fontId="0" fillId="11" borderId="3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10" xfId="0" applyFill="1" applyBorder="1" applyAlignment="1">
      <alignment horizontal="right"/>
    </xf>
    <xf numFmtId="1" fontId="0" fillId="11" borderId="10" xfId="0" applyNumberFormat="1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1" fontId="8" fillId="11" borderId="0" xfId="0" applyNumberFormat="1" applyFont="1" applyFill="1" applyAlignment="1">
      <alignment horizontal="right"/>
    </xf>
    <xf numFmtId="0" fontId="8" fillId="11" borderId="0" xfId="0" applyFont="1" applyFill="1"/>
    <xf numFmtId="0" fontId="8" fillId="11" borderId="0" xfId="0" applyFont="1" applyFill="1" applyAlignment="1">
      <alignment horizontal="right"/>
    </xf>
    <xf numFmtId="0" fontId="0" fillId="11" borderId="0" xfId="0" applyFill="1" applyAlignment="1">
      <alignment horizontal="left"/>
    </xf>
    <xf numFmtId="0" fontId="0" fillId="11" borderId="1" xfId="0" applyFill="1" applyBorder="1"/>
    <xf numFmtId="0" fontId="0" fillId="11" borderId="50" xfId="0" applyFill="1" applyBorder="1" applyAlignment="1">
      <alignment horizontal="left"/>
    </xf>
    <xf numFmtId="11" fontId="0" fillId="11" borderId="51" xfId="0" applyNumberFormat="1" applyFill="1" applyBorder="1" applyAlignment="1">
      <alignment horizontal="center"/>
    </xf>
    <xf numFmtId="0" fontId="0" fillId="11" borderId="52" xfId="0" applyFill="1" applyBorder="1" applyAlignment="1">
      <alignment horizontal="left"/>
    </xf>
    <xf numFmtId="0" fontId="0" fillId="11" borderId="53" xfId="0" applyFill="1" applyBorder="1" applyAlignment="1">
      <alignment horizontal="center"/>
    </xf>
    <xf numFmtId="0" fontId="0" fillId="11" borderId="54" xfId="0" applyFill="1" applyBorder="1" applyAlignment="1">
      <alignment horizontal="left"/>
    </xf>
    <xf numFmtId="11" fontId="0" fillId="11" borderId="55" xfId="0" applyNumberFormat="1" applyFill="1" applyBorder="1" applyAlignment="1">
      <alignment horizontal="center"/>
    </xf>
    <xf numFmtId="2" fontId="0" fillId="11" borderId="0" xfId="0" applyNumberFormat="1" applyFill="1"/>
    <xf numFmtId="0" fontId="9" fillId="11" borderId="22" xfId="0" applyFont="1" applyFill="1" applyBorder="1" applyProtection="1">
      <protection locked="0"/>
    </xf>
    <xf numFmtId="168" fontId="0" fillId="2" borderId="2" xfId="0" applyNumberFormat="1" applyFill="1" applyBorder="1" applyAlignment="1">
      <alignment horizontal="center"/>
    </xf>
    <xf numFmtId="168" fontId="0" fillId="2" borderId="12" xfId="0" applyNumberFormat="1" applyFill="1" applyBorder="1" applyAlignment="1">
      <alignment horizontal="center"/>
    </xf>
    <xf numFmtId="168" fontId="0" fillId="2" borderId="9" xfId="0" applyNumberFormat="1" applyFill="1" applyBorder="1" applyAlignment="1">
      <alignment horizontal="center"/>
    </xf>
    <xf numFmtId="168" fontId="0" fillId="2" borderId="6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68" fontId="0" fillId="2" borderId="11" xfId="0" applyNumberFormat="1" applyFill="1" applyBorder="1" applyAlignment="1">
      <alignment horizontal="center"/>
    </xf>
    <xf numFmtId="168" fontId="0" fillId="2" borderId="14" xfId="0" applyNumberFormat="1" applyFill="1" applyBorder="1" applyAlignment="1">
      <alignment horizontal="center"/>
    </xf>
    <xf numFmtId="168" fontId="8" fillId="2" borderId="0" xfId="0" applyNumberFormat="1" applyFont="1" applyFill="1" applyAlignment="1">
      <alignment horizontal="center"/>
    </xf>
    <xf numFmtId="168" fontId="8" fillId="2" borderId="0" xfId="0" applyNumberFormat="1" applyFont="1" applyFill="1"/>
    <xf numFmtId="0" fontId="8" fillId="11" borderId="27" xfId="0" applyFont="1" applyFill="1" applyBorder="1" applyAlignment="1">
      <alignment horizontal="center"/>
    </xf>
    <xf numFmtId="171" fontId="8" fillId="11" borderId="33" xfId="0" applyNumberFormat="1" applyFont="1" applyFill="1" applyBorder="1" applyAlignment="1">
      <alignment horizontal="center"/>
    </xf>
    <xf numFmtId="172" fontId="8" fillId="11" borderId="30" xfId="0" applyNumberFormat="1" applyFont="1" applyFill="1" applyBorder="1" applyAlignment="1">
      <alignment horizontal="center"/>
    </xf>
    <xf numFmtId="0" fontId="8" fillId="11" borderId="25" xfId="0" applyFont="1" applyFill="1" applyBorder="1" applyAlignment="1">
      <alignment horizontal="center"/>
    </xf>
    <xf numFmtId="171" fontId="8" fillId="11" borderId="11" xfId="0" applyNumberFormat="1" applyFont="1" applyFill="1" applyBorder="1" applyAlignment="1">
      <alignment horizontal="center"/>
    </xf>
    <xf numFmtId="172" fontId="8" fillId="11" borderId="11" xfId="0" applyNumberFormat="1" applyFont="1" applyFill="1" applyBorder="1" applyAlignment="1">
      <alignment horizontal="center"/>
    </xf>
    <xf numFmtId="172" fontId="8" fillId="11" borderId="33" xfId="0" applyNumberFormat="1" applyFont="1" applyFill="1" applyBorder="1" applyAlignment="1">
      <alignment horizontal="center"/>
    </xf>
    <xf numFmtId="172" fontId="8" fillId="11" borderId="32" xfId="0" applyNumberFormat="1" applyFont="1" applyFill="1" applyBorder="1" applyAlignment="1">
      <alignment horizontal="center"/>
    </xf>
    <xf numFmtId="0" fontId="0" fillId="11" borderId="0" xfId="0" applyFill="1" applyAlignment="1">
      <alignment horizontal="right"/>
    </xf>
    <xf numFmtId="1" fontId="0" fillId="11" borderId="0" xfId="0" applyNumberFormat="1" applyFill="1" applyAlignment="1">
      <alignment horizontal="center"/>
    </xf>
    <xf numFmtId="0" fontId="28" fillId="11" borderId="50" xfId="0" applyFont="1" applyFill="1" applyBorder="1"/>
    <xf numFmtId="167" fontId="28" fillId="11" borderId="51" xfId="0" applyNumberFormat="1" applyFont="1" applyFill="1" applyBorder="1"/>
    <xf numFmtId="0" fontId="28" fillId="11" borderId="52" xfId="0" applyFont="1" applyFill="1" applyBorder="1"/>
    <xf numFmtId="0" fontId="28" fillId="11" borderId="53" xfId="0" applyFont="1" applyFill="1" applyBorder="1"/>
    <xf numFmtId="0" fontId="28" fillId="11" borderId="54" xfId="0" applyFont="1" applyFill="1" applyBorder="1"/>
    <xf numFmtId="0" fontId="28" fillId="11" borderId="55" xfId="0" applyFont="1" applyFill="1" applyBorder="1"/>
    <xf numFmtId="0" fontId="28" fillId="11" borderId="50" xfId="0" applyFont="1" applyFill="1" applyBorder="1" applyAlignment="1">
      <alignment horizontal="right"/>
    </xf>
    <xf numFmtId="0" fontId="28" fillId="11" borderId="0" xfId="0" applyFont="1" applyFill="1"/>
    <xf numFmtId="0" fontId="28" fillId="11" borderId="52" xfId="0" applyFont="1" applyFill="1" applyBorder="1" applyAlignment="1">
      <alignment horizontal="right"/>
    </xf>
    <xf numFmtId="11" fontId="28" fillId="11" borderId="53" xfId="0" applyNumberFormat="1" applyFont="1" applyFill="1" applyBorder="1"/>
    <xf numFmtId="0" fontId="28" fillId="11" borderId="54" xfId="0" applyFont="1" applyFill="1" applyBorder="1" applyAlignment="1">
      <alignment horizontal="right"/>
    </xf>
    <xf numFmtId="11" fontId="28" fillId="11" borderId="55" xfId="0" applyNumberFormat="1" applyFont="1" applyFill="1" applyBorder="1"/>
    <xf numFmtId="168" fontId="0" fillId="2" borderId="56" xfId="0" applyNumberFormat="1" applyFill="1" applyBorder="1" applyAlignment="1">
      <alignment horizontal="center"/>
    </xf>
    <xf numFmtId="1" fontId="8" fillId="2" borderId="5" xfId="0" applyNumberFormat="1" applyFont="1" applyFill="1" applyBorder="1" applyAlignment="1">
      <alignment horizontal="center"/>
    </xf>
    <xf numFmtId="1" fontId="8" fillId="11" borderId="0" xfId="0" applyNumberFormat="1" applyFont="1" applyFill="1"/>
    <xf numFmtId="0" fontId="29" fillId="2" borderId="0" xfId="0" applyFont="1" applyFill="1"/>
    <xf numFmtId="2" fontId="29" fillId="2" borderId="0" xfId="0" applyNumberFormat="1" applyFont="1" applyFill="1" applyAlignment="1">
      <alignment horizontal="center"/>
    </xf>
    <xf numFmtId="168" fontId="29" fillId="2" borderId="0" xfId="0" applyNumberFormat="1" applyFont="1" applyFill="1" applyAlignment="1">
      <alignment horizontal="center"/>
    </xf>
    <xf numFmtId="0" fontId="29" fillId="2" borderId="0" xfId="0" applyFont="1" applyFill="1" applyAlignment="1">
      <alignment horizontal="center"/>
    </xf>
    <xf numFmtId="0" fontId="29" fillId="2" borderId="0" xfId="0" applyFont="1" applyFill="1" applyAlignment="1" applyProtection="1">
      <alignment horizontal="center"/>
      <protection locked="0"/>
    </xf>
    <xf numFmtId="168" fontId="29" fillId="2" borderId="2" xfId="0" applyNumberFormat="1" applyFont="1" applyFill="1" applyBorder="1" applyAlignment="1" applyProtection="1">
      <alignment horizontal="center"/>
      <protection locked="0"/>
    </xf>
    <xf numFmtId="0" fontId="29" fillId="2" borderId="2" xfId="0" applyFont="1" applyFill="1" applyBorder="1" applyAlignment="1" applyProtection="1">
      <alignment horizontal="center"/>
      <protection locked="0"/>
    </xf>
    <xf numFmtId="2" fontId="29" fillId="2" borderId="0" xfId="0" applyNumberFormat="1" applyFont="1" applyFill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/>
      <protection locked="0"/>
    </xf>
    <xf numFmtId="0" fontId="9" fillId="16" borderId="0" xfId="0" applyFont="1" applyFill="1" applyProtection="1">
      <protection locked="0"/>
    </xf>
    <xf numFmtId="0" fontId="9" fillId="17" borderId="9" xfId="0" applyFont="1" applyFill="1" applyBorder="1" applyProtection="1">
      <protection locked="0"/>
    </xf>
    <xf numFmtId="0" fontId="9" fillId="17" borderId="6" xfId="0" applyFont="1" applyFill="1" applyBorder="1" applyProtection="1">
      <protection locked="0"/>
    </xf>
    <xf numFmtId="0" fontId="9" fillId="17" borderId="22" xfId="0" applyFont="1" applyFill="1" applyBorder="1" applyAlignment="1" applyProtection="1">
      <alignment horizontal="center" vertical="center"/>
      <protection locked="0"/>
    </xf>
    <xf numFmtId="0" fontId="0" fillId="13" borderId="0" xfId="0" applyFill="1" applyAlignment="1">
      <alignment horizontal="center"/>
    </xf>
    <xf numFmtId="0" fontId="9" fillId="2" borderId="2" xfId="0" applyFont="1" applyFill="1" applyBorder="1"/>
    <xf numFmtId="0" fontId="9" fillId="2" borderId="0" xfId="0" applyFont="1" applyFill="1"/>
    <xf numFmtId="0" fontId="0" fillId="2" borderId="8" xfId="0" applyFill="1" applyBorder="1"/>
    <xf numFmtId="0" fontId="0" fillId="2" borderId="10" xfId="0" applyFill="1" applyBorder="1"/>
    <xf numFmtId="0" fontId="0" fillId="2" borderId="7" xfId="0" applyFill="1" applyBorder="1"/>
    <xf numFmtId="0" fontId="9" fillId="2" borderId="0" xfId="2" applyNumberFormat="1" applyFill="1"/>
    <xf numFmtId="0" fontId="9" fillId="2" borderId="0" xfId="2" applyNumberFormat="1" applyFill="1" applyAlignment="1">
      <alignment horizontal="center"/>
    </xf>
    <xf numFmtId="0" fontId="9" fillId="2" borderId="2" xfId="2" applyNumberFormat="1" applyFill="1" applyBorder="1"/>
    <xf numFmtId="0" fontId="9" fillId="2" borderId="1" xfId="2" applyNumberFormat="1" applyFill="1" applyBorder="1"/>
    <xf numFmtId="0" fontId="9" fillId="2" borderId="1" xfId="2" applyNumberFormat="1" applyFill="1" applyBorder="1" applyAlignment="1">
      <alignment horizontal="center"/>
    </xf>
    <xf numFmtId="0" fontId="9" fillId="2" borderId="5" xfId="2" applyNumberFormat="1" applyFill="1" applyBorder="1"/>
    <xf numFmtId="11" fontId="0" fillId="0" borderId="0" xfId="0" applyNumberFormat="1"/>
    <xf numFmtId="0" fontId="9" fillId="0" borderId="0" xfId="0" applyFont="1"/>
    <xf numFmtId="0" fontId="0" fillId="2" borderId="3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2" borderId="59" xfId="0" applyFill="1" applyBorder="1" applyAlignment="1">
      <alignment horizontal="center"/>
    </xf>
    <xf numFmtId="1" fontId="0" fillId="13" borderId="0" xfId="0" applyNumberFormat="1" applyFill="1" applyAlignment="1">
      <alignment horizontal="center"/>
    </xf>
    <xf numFmtId="0" fontId="0" fillId="2" borderId="10" xfId="0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64" fontId="9" fillId="2" borderId="22" xfId="0" applyNumberFormat="1" applyFont="1" applyFill="1" applyBorder="1" applyAlignment="1">
      <alignment horizontal="center" vertical="center"/>
    </xf>
    <xf numFmtId="0" fontId="0" fillId="2" borderId="22" xfId="0" applyFill="1" applyBorder="1"/>
    <xf numFmtId="0" fontId="0" fillId="2" borderId="0" xfId="0" applyFill="1" applyAlignment="1">
      <alignment horizontal="left"/>
    </xf>
    <xf numFmtId="0" fontId="1" fillId="2" borderId="0" xfId="0" applyFont="1" applyFill="1"/>
    <xf numFmtId="0" fontId="31" fillId="2" borderId="0" xfId="0" applyFont="1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9" fillId="2" borderId="0" xfId="0" quotePrefix="1" applyFont="1" applyFill="1"/>
    <xf numFmtId="0" fontId="0" fillId="2" borderId="0" xfId="0" quotePrefix="1" applyFill="1"/>
    <xf numFmtId="0" fontId="25" fillId="2" borderId="0" xfId="0" applyFont="1" applyFill="1" applyAlignment="1">
      <alignment horizontal="left" indent="1"/>
    </xf>
    <xf numFmtId="0" fontId="33" fillId="2" borderId="0" xfId="0" applyFont="1" applyFill="1" applyAlignment="1">
      <alignment horizontal="left" indent="1"/>
    </xf>
    <xf numFmtId="0" fontId="0" fillId="2" borderId="1" xfId="0" applyFill="1" applyBorder="1"/>
    <xf numFmtId="0" fontId="31" fillId="14" borderId="66" xfId="0" applyFont="1" applyFill="1" applyBorder="1" applyAlignment="1">
      <alignment horizontal="center" vertical="center"/>
    </xf>
    <xf numFmtId="0" fontId="31" fillId="14" borderId="66" xfId="0" applyFont="1" applyFill="1" applyBorder="1" applyAlignment="1">
      <alignment vertical="center"/>
    </xf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0" fillId="16" borderId="0" xfId="0" applyFont="1" applyFill="1" applyProtection="1">
      <protection locked="0"/>
    </xf>
    <xf numFmtId="0" fontId="30" fillId="11" borderId="0" xfId="0" applyFont="1" applyFill="1" applyProtection="1">
      <protection locked="0"/>
    </xf>
    <xf numFmtId="0" fontId="34" fillId="11" borderId="0" xfId="0" applyFont="1" applyFill="1" applyProtection="1">
      <protection locked="0"/>
    </xf>
    <xf numFmtId="0" fontId="29" fillId="11" borderId="0" xfId="0" applyFont="1" applyFill="1" applyProtection="1">
      <protection locked="0"/>
    </xf>
    <xf numFmtId="0" fontId="35" fillId="11" borderId="0" xfId="0" applyFont="1" applyFill="1" applyProtection="1">
      <protection locked="0"/>
    </xf>
    <xf numFmtId="0" fontId="29" fillId="11" borderId="0" xfId="0" applyFont="1" applyFill="1" applyAlignment="1" applyProtection="1">
      <alignment horizontal="center"/>
      <protection locked="0"/>
    </xf>
    <xf numFmtId="0" fontId="35" fillId="2" borderId="7" xfId="0" applyFont="1" applyFill="1" applyBorder="1" applyAlignment="1" applyProtection="1">
      <alignment horizontal="center"/>
      <protection locked="0"/>
    </xf>
    <xf numFmtId="0" fontId="29" fillId="2" borderId="10" xfId="0" applyFont="1" applyFill="1" applyBorder="1" applyAlignment="1" applyProtection="1">
      <alignment horizontal="center"/>
      <protection locked="0"/>
    </xf>
    <xf numFmtId="0" fontId="29" fillId="2" borderId="8" xfId="0" applyFont="1" applyFill="1" applyBorder="1" applyProtection="1">
      <protection locked="0"/>
    </xf>
    <xf numFmtId="2" fontId="29" fillId="11" borderId="0" xfId="0" applyNumberFormat="1" applyFont="1" applyFill="1" applyAlignment="1">
      <alignment horizontal="center"/>
    </xf>
    <xf numFmtId="0" fontId="29" fillId="2" borderId="7" xfId="0" applyFont="1" applyFill="1" applyBorder="1" applyProtection="1">
      <protection locked="0"/>
    </xf>
    <xf numFmtId="0" fontId="29" fillId="2" borderId="10" xfId="0" applyFont="1" applyFill="1" applyBorder="1" applyProtection="1">
      <protection locked="0"/>
    </xf>
    <xf numFmtId="167" fontId="29" fillId="2" borderId="0" xfId="0" applyNumberFormat="1" applyFont="1" applyFill="1" applyAlignment="1" applyProtection="1">
      <alignment horizontal="center"/>
      <protection locked="0"/>
    </xf>
    <xf numFmtId="0" fontId="35" fillId="2" borderId="2" xfId="0" applyFont="1" applyFill="1" applyBorder="1" applyAlignment="1" applyProtection="1">
      <alignment horizontal="left"/>
      <protection locked="0"/>
    </xf>
    <xf numFmtId="0" fontId="29" fillId="2" borderId="2" xfId="0" applyFont="1" applyFill="1" applyBorder="1" applyProtection="1">
      <protection locked="0"/>
    </xf>
    <xf numFmtId="0" fontId="29" fillId="2" borderId="3" xfId="0" applyFont="1" applyFill="1" applyBorder="1" applyProtection="1">
      <protection locked="0"/>
    </xf>
    <xf numFmtId="0" fontId="29" fillId="2" borderId="0" xfId="0" applyFont="1" applyFill="1" applyProtection="1">
      <protection locked="0"/>
    </xf>
    <xf numFmtId="0" fontId="35" fillId="2" borderId="2" xfId="0" applyFont="1" applyFill="1" applyBorder="1" applyAlignment="1" applyProtection="1">
      <alignment horizontal="center"/>
      <protection locked="0"/>
    </xf>
    <xf numFmtId="0" fontId="35" fillId="2" borderId="0" xfId="0" applyFont="1" applyFill="1" applyAlignment="1" applyProtection="1">
      <alignment horizontal="center"/>
      <protection locked="0"/>
    </xf>
    <xf numFmtId="0" fontId="29" fillId="2" borderId="4" xfId="0" applyFont="1" applyFill="1" applyBorder="1" applyProtection="1">
      <protection locked="0"/>
    </xf>
    <xf numFmtId="0" fontId="29" fillId="2" borderId="1" xfId="0" applyFont="1" applyFill="1" applyBorder="1" applyProtection="1">
      <protection locked="0"/>
    </xf>
    <xf numFmtId="0" fontId="29" fillId="2" borderId="5" xfId="0" applyFont="1" applyFill="1" applyBorder="1" applyProtection="1">
      <protection locked="0"/>
    </xf>
    <xf numFmtId="0" fontId="29" fillId="2" borderId="7" xfId="0" applyFont="1" applyFill="1" applyBorder="1" applyAlignment="1" applyProtection="1">
      <alignment horizontal="center"/>
      <protection locked="0"/>
    </xf>
    <xf numFmtId="0" fontId="29" fillId="2" borderId="8" xfId="0" applyFont="1" applyFill="1" applyBorder="1" applyAlignment="1" applyProtection="1">
      <alignment horizontal="center"/>
      <protection locked="0"/>
    </xf>
    <xf numFmtId="168" fontId="29" fillId="2" borderId="0" xfId="0" applyNumberFormat="1" applyFont="1" applyFill="1" applyAlignment="1" applyProtection="1">
      <alignment horizontal="center"/>
      <protection locked="0"/>
    </xf>
    <xf numFmtId="1" fontId="29" fillId="11" borderId="0" xfId="0" applyNumberFormat="1" applyFont="1" applyFill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/>
      <protection locked="0"/>
    </xf>
    <xf numFmtId="0" fontId="35" fillId="2" borderId="5" xfId="0" applyFont="1" applyFill="1" applyBorder="1" applyAlignment="1" applyProtection="1">
      <alignment horizontal="left"/>
      <protection locked="0"/>
    </xf>
    <xf numFmtId="0" fontId="29" fillId="11" borderId="7" xfId="0" applyFont="1" applyFill="1" applyBorder="1" applyProtection="1">
      <protection locked="0"/>
    </xf>
    <xf numFmtId="0" fontId="29" fillId="11" borderId="10" xfId="0" applyFont="1" applyFill="1" applyBorder="1" applyProtection="1">
      <protection locked="0"/>
    </xf>
    <xf numFmtId="0" fontId="29" fillId="2" borderId="4" xfId="0" applyFont="1" applyFill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/>
      <protection locked="0"/>
    </xf>
    <xf numFmtId="0" fontId="29" fillId="2" borderId="5" xfId="0" applyFont="1" applyFill="1" applyBorder="1" applyAlignment="1" applyProtection="1">
      <alignment horizontal="center"/>
      <protection locked="0"/>
    </xf>
    <xf numFmtId="0" fontId="29" fillId="18" borderId="0" xfId="0" applyFont="1" applyFill="1" applyAlignment="1" applyProtection="1">
      <alignment horizontal="center"/>
      <protection locked="0"/>
    </xf>
    <xf numFmtId="0" fontId="30" fillId="2" borderId="0" xfId="0" applyFont="1" applyFill="1" applyAlignment="1" applyProtection="1">
      <alignment horizontal="center"/>
      <protection locked="0"/>
    </xf>
    <xf numFmtId="168" fontId="30" fillId="2" borderId="2" xfId="0" applyNumberFormat="1" applyFont="1" applyFill="1" applyBorder="1" applyAlignment="1" applyProtection="1">
      <alignment horizontal="center"/>
      <protection locked="0"/>
    </xf>
    <xf numFmtId="0" fontId="30" fillId="2" borderId="2" xfId="0" applyFont="1" applyFill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/>
      <protection locked="0"/>
    </xf>
    <xf numFmtId="0" fontId="30" fillId="2" borderId="5" xfId="0" applyFont="1" applyFill="1" applyBorder="1" applyAlignment="1" applyProtection="1">
      <alignment horizontal="center"/>
      <protection locked="0"/>
    </xf>
    <xf numFmtId="0" fontId="30" fillId="2" borderId="4" xfId="0" applyFont="1" applyFill="1" applyBorder="1" applyAlignment="1" applyProtection="1">
      <alignment horizontal="center"/>
      <protection locked="0"/>
    </xf>
    <xf numFmtId="0" fontId="30" fillId="11" borderId="0" xfId="0" applyFont="1" applyFill="1" applyAlignment="1" applyProtection="1">
      <alignment horizontal="center"/>
      <protection locked="0"/>
    </xf>
    <xf numFmtId="0" fontId="30" fillId="2" borderId="7" xfId="0" applyFont="1" applyFill="1" applyBorder="1" applyAlignment="1" applyProtection="1">
      <alignment horizontal="center"/>
      <protection locked="0"/>
    </xf>
    <xf numFmtId="0" fontId="30" fillId="2" borderId="10" xfId="0" applyFont="1" applyFill="1" applyBorder="1" applyAlignment="1" applyProtection="1">
      <alignment horizontal="center"/>
      <protection locked="0"/>
    </xf>
    <xf numFmtId="0" fontId="30" fillId="2" borderId="10" xfId="0" applyFont="1" applyFill="1" applyBorder="1" applyProtection="1">
      <protection locked="0"/>
    </xf>
    <xf numFmtId="0" fontId="30" fillId="2" borderId="8" xfId="0" applyFont="1" applyFill="1" applyBorder="1" applyProtection="1">
      <protection locked="0"/>
    </xf>
    <xf numFmtId="174" fontId="2" fillId="3" borderId="0" xfId="4" applyFont="1" applyFill="1" applyAlignment="1">
      <alignment horizontal="center"/>
    </xf>
    <xf numFmtId="174" fontId="3" fillId="3" borderId="0" xfId="4" applyFont="1" applyFill="1" applyAlignment="1">
      <alignment horizontal="left" vertical="center"/>
    </xf>
    <xf numFmtId="174" fontId="2" fillId="3" borderId="0" xfId="4" applyFont="1" applyFill="1" applyAlignment="1">
      <alignment horizontal="left" vertical="center"/>
    </xf>
    <xf numFmtId="174" fontId="2" fillId="3" borderId="1" xfId="4" applyFont="1" applyFill="1" applyBorder="1" applyAlignment="1">
      <alignment horizontal="center"/>
    </xf>
    <xf numFmtId="1" fontId="2" fillId="2" borderId="0" xfId="4" applyNumberFormat="1" applyFont="1" applyFill="1" applyAlignment="1">
      <alignment horizontal="center"/>
    </xf>
    <xf numFmtId="168" fontId="2" fillId="2" borderId="0" xfId="4" applyNumberFormat="1" applyFont="1" applyFill="1" applyAlignment="1">
      <alignment horizontal="center"/>
    </xf>
    <xf numFmtId="174" fontId="2" fillId="2" borderId="0" xfId="4" applyFont="1" applyFill="1" applyAlignment="1">
      <alignment horizontal="center"/>
    </xf>
    <xf numFmtId="174" fontId="2" fillId="3" borderId="0" xfId="4" applyFont="1" applyFill="1" applyAlignment="1">
      <alignment horizontal="center" vertical="center"/>
    </xf>
    <xf numFmtId="11" fontId="2" fillId="2" borderId="0" xfId="4" applyNumberFormat="1" applyFont="1" applyFill="1" applyAlignment="1">
      <alignment horizontal="center"/>
    </xf>
    <xf numFmtId="174" fontId="2" fillId="2" borderId="0" xfId="4" applyFont="1" applyFill="1" applyAlignment="1">
      <alignment horizontal="left"/>
    </xf>
    <xf numFmtId="174" fontId="3" fillId="3" borderId="0" xfId="4" applyFont="1" applyFill="1" applyAlignment="1">
      <alignment horizontal="left" vertical="center" indent="1"/>
    </xf>
    <xf numFmtId="165" fontId="37" fillId="0" borderId="0" xfId="4" applyNumberFormat="1"/>
    <xf numFmtId="0" fontId="2" fillId="3" borderId="0" xfId="4" applyNumberFormat="1" applyFont="1" applyFill="1" applyAlignment="1">
      <alignment horizontal="center" vertical="center"/>
    </xf>
    <xf numFmtId="0" fontId="3" fillId="3" borderId="0" xfId="4" applyNumberFormat="1" applyFont="1" applyFill="1" applyAlignment="1">
      <alignment horizontal="left" vertical="center" indent="1"/>
    </xf>
    <xf numFmtId="0" fontId="2" fillId="3" borderId="0" xfId="4" applyNumberFormat="1" applyFont="1" applyFill="1" applyAlignment="1">
      <alignment horizontal="left" vertical="center"/>
    </xf>
    <xf numFmtId="0" fontId="2" fillId="3" borderId="1" xfId="4" applyNumberFormat="1" applyFont="1" applyFill="1" applyBorder="1" applyAlignment="1">
      <alignment horizontal="center"/>
    </xf>
    <xf numFmtId="0" fontId="2" fillId="2" borderId="0" xfId="4" applyNumberFormat="1" applyFont="1" applyFill="1" applyAlignment="1">
      <alignment horizontal="center"/>
    </xf>
    <xf numFmtId="0" fontId="3" fillId="2" borderId="0" xfId="4" applyNumberFormat="1" applyFont="1" applyFill="1" applyAlignment="1">
      <alignment horizontal="center"/>
    </xf>
    <xf numFmtId="0" fontId="37" fillId="2" borderId="0" xfId="4" applyNumberFormat="1" applyFill="1" applyAlignment="1">
      <alignment horizontal="center"/>
    </xf>
    <xf numFmtId="174" fontId="37" fillId="2" borderId="0" xfId="4" applyFill="1" applyAlignment="1">
      <alignment horizontal="center"/>
    </xf>
    <xf numFmtId="1" fontId="37" fillId="2" borderId="0" xfId="4" applyNumberFormat="1" applyFill="1" applyAlignment="1">
      <alignment horizontal="center"/>
    </xf>
    <xf numFmtId="1" fontId="16" fillId="2" borderId="7" xfId="4" applyNumberFormat="1" applyFont="1" applyFill="1" applyBorder="1" applyAlignment="1">
      <alignment horizontal="center"/>
    </xf>
    <xf numFmtId="1" fontId="16" fillId="2" borderId="10" xfId="4" applyNumberFormat="1" applyFont="1" applyFill="1" applyBorder="1" applyAlignment="1">
      <alignment horizontal="center"/>
    </xf>
    <xf numFmtId="1" fontId="16" fillId="2" borderId="8" xfId="4" applyNumberFormat="1" applyFont="1" applyFill="1" applyBorder="1" applyAlignment="1">
      <alignment horizontal="center"/>
    </xf>
    <xf numFmtId="1" fontId="16" fillId="2" borderId="3" xfId="4" applyNumberFormat="1" applyFont="1" applyFill="1" applyBorder="1" applyAlignment="1">
      <alignment horizontal="center"/>
    </xf>
    <xf numFmtId="1" fontId="39" fillId="20" borderId="1" xfId="4" applyNumberFormat="1" applyFont="1" applyFill="1" applyBorder="1" applyAlignment="1">
      <alignment horizontal="left" indent="1"/>
    </xf>
    <xf numFmtId="1" fontId="16" fillId="2" borderId="1" xfId="4" applyNumberFormat="1" applyFont="1" applyFill="1" applyBorder="1"/>
    <xf numFmtId="1" fontId="16" fillId="2" borderId="1" xfId="4" applyNumberFormat="1" applyFont="1" applyFill="1" applyBorder="1" applyAlignment="1">
      <alignment horizontal="center"/>
    </xf>
    <xf numFmtId="1" fontId="16" fillId="2" borderId="0" xfId="4" applyNumberFormat="1" applyFont="1" applyFill="1" applyAlignment="1">
      <alignment horizontal="center"/>
    </xf>
    <xf numFmtId="1" fontId="16" fillId="2" borderId="2" xfId="4" applyNumberFormat="1" applyFont="1" applyFill="1" applyBorder="1" applyAlignment="1">
      <alignment horizontal="center"/>
    </xf>
    <xf numFmtId="174" fontId="16" fillId="2" borderId="3" xfId="4" applyFont="1" applyFill="1" applyBorder="1" applyAlignment="1">
      <alignment horizontal="center"/>
    </xf>
    <xf numFmtId="174" fontId="16" fillId="2" borderId="0" xfId="4" applyFont="1" applyFill="1" applyAlignment="1">
      <alignment horizontal="center"/>
    </xf>
    <xf numFmtId="174" fontId="16" fillId="2" borderId="2" xfId="4" applyFont="1" applyFill="1" applyBorder="1" applyAlignment="1">
      <alignment horizontal="center"/>
    </xf>
    <xf numFmtId="1" fontId="16" fillId="2" borderId="0" xfId="4" applyNumberFormat="1" applyFont="1" applyFill="1" applyAlignment="1">
      <alignment horizontal="left" indent="2"/>
    </xf>
    <xf numFmtId="1" fontId="40" fillId="2" borderId="0" xfId="4" applyNumberFormat="1" applyFont="1" applyFill="1" applyAlignment="1">
      <alignment horizontal="center"/>
    </xf>
    <xf numFmtId="1" fontId="16" fillId="2" borderId="0" xfId="4" applyNumberFormat="1" applyFont="1" applyFill="1" applyAlignment="1">
      <alignment horizontal="left"/>
    </xf>
    <xf numFmtId="174" fontId="16" fillId="2" borderId="4" xfId="4" applyFont="1" applyFill="1" applyBorder="1" applyAlignment="1">
      <alignment horizontal="center"/>
    </xf>
    <xf numFmtId="174" fontId="16" fillId="2" borderId="1" xfId="4" applyFont="1" applyFill="1" applyBorder="1" applyAlignment="1">
      <alignment horizontal="center"/>
    </xf>
    <xf numFmtId="174" fontId="16" fillId="2" borderId="5" xfId="4" applyFont="1" applyFill="1" applyBorder="1" applyAlignment="1">
      <alignment horizontal="center"/>
    </xf>
    <xf numFmtId="168" fontId="40" fillId="2" borderId="0" xfId="5" applyNumberFormat="1" applyFont="1" applyFill="1" applyBorder="1" applyAlignment="1">
      <alignment horizontal="center"/>
    </xf>
    <xf numFmtId="176" fontId="41" fillId="2" borderId="0" xfId="6" applyNumberFormat="1" applyFont="1" applyFill="1" applyBorder="1" applyAlignment="1">
      <alignment horizontal="center"/>
    </xf>
    <xf numFmtId="177" fontId="38" fillId="2" borderId="1" xfId="5" applyNumberFormat="1" applyFont="1" applyFill="1" applyBorder="1" applyAlignment="1">
      <alignment horizontal="center"/>
    </xf>
    <xf numFmtId="1" fontId="16" fillId="2" borderId="1" xfId="5" applyNumberFormat="1" applyFont="1" applyFill="1" applyBorder="1" applyAlignment="1">
      <alignment horizontal="center"/>
    </xf>
    <xf numFmtId="174" fontId="37" fillId="2" borderId="0" xfId="4" applyFill="1" applyAlignment="1">
      <alignment horizontal="center" vertical="center"/>
    </xf>
    <xf numFmtId="168" fontId="0" fillId="16" borderId="0" xfId="0" applyNumberFormat="1" applyFill="1" applyAlignment="1">
      <alignment horizontal="center"/>
    </xf>
    <xf numFmtId="1" fontId="16" fillId="2" borderId="7" xfId="0" applyNumberFormat="1" applyFont="1" applyFill="1" applyBorder="1" applyAlignment="1">
      <alignment horizontal="center"/>
    </xf>
    <xf numFmtId="1" fontId="16" fillId="2" borderId="10" xfId="0" applyNumberFormat="1" applyFont="1" applyFill="1" applyBorder="1" applyAlignment="1">
      <alignment horizontal="center"/>
    </xf>
    <xf numFmtId="1" fontId="16" fillId="2" borderId="8" xfId="0" applyNumberFormat="1" applyFont="1" applyFill="1" applyBorder="1" applyAlignment="1">
      <alignment horizontal="center"/>
    </xf>
    <xf numFmtId="1" fontId="16" fillId="2" borderId="3" xfId="0" applyNumberFormat="1" applyFont="1" applyFill="1" applyBorder="1" applyAlignment="1">
      <alignment horizontal="center"/>
    </xf>
    <xf numFmtId="1" fontId="39" fillId="20" borderId="1" xfId="0" applyNumberFormat="1" applyFont="1" applyFill="1" applyBorder="1" applyAlignment="1">
      <alignment horizontal="left" indent="1"/>
    </xf>
    <xf numFmtId="1" fontId="16" fillId="2" borderId="1" xfId="0" applyNumberFormat="1" applyFont="1" applyFill="1" applyBorder="1"/>
    <xf numFmtId="1" fontId="16" fillId="2" borderId="1" xfId="0" applyNumberFormat="1" applyFont="1" applyFill="1" applyBorder="1" applyAlignment="1">
      <alignment horizontal="center"/>
    </xf>
    <xf numFmtId="0" fontId="16" fillId="16" borderId="0" xfId="0" applyFont="1" applyFill="1"/>
    <xf numFmtId="1" fontId="16" fillId="2" borderId="2" xfId="0" applyNumberFormat="1" applyFont="1" applyFill="1" applyBorder="1" applyAlignment="1">
      <alignment horizontal="center"/>
    </xf>
    <xf numFmtId="1" fontId="16" fillId="2" borderId="0" xfId="0" applyNumberFormat="1" applyFont="1" applyFill="1" applyAlignment="1">
      <alignment horizontal="center"/>
    </xf>
    <xf numFmtId="1" fontId="16" fillId="2" borderId="0" xfId="0" applyNumberFormat="1" applyFont="1" applyFill="1" applyAlignment="1">
      <alignment horizontal="left" indent="2"/>
    </xf>
    <xf numFmtId="1" fontId="16" fillId="2" borderId="0" xfId="0" applyNumberFormat="1" applyFont="1" applyFill="1" applyAlignment="1">
      <alignment horizontal="left" indent="1"/>
    </xf>
    <xf numFmtId="1" fontId="40" fillId="2" borderId="0" xfId="0" applyNumberFormat="1" applyFont="1" applyFill="1" applyAlignment="1">
      <alignment horizontal="center"/>
    </xf>
    <xf numFmtId="1" fontId="16" fillId="2" borderId="1" xfId="0" applyNumberFormat="1" applyFont="1" applyFill="1" applyBorder="1" applyAlignment="1">
      <alignment horizontal="left" indent="2"/>
    </xf>
    <xf numFmtId="166" fontId="16" fillId="2" borderId="0" xfId="0" applyNumberFormat="1" applyFont="1" applyFill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6" fillId="2" borderId="2" xfId="0" applyFont="1" applyFill="1" applyBorder="1" applyAlignment="1">
      <alignment horizontal="center"/>
    </xf>
    <xf numFmtId="1" fontId="16" fillId="2" borderId="0" xfId="0" applyNumberFormat="1" applyFont="1" applyFill="1" applyAlignment="1">
      <alignment horizontal="left" indent="9"/>
    </xf>
    <xf numFmtId="1" fontId="16" fillId="2" borderId="0" xfId="0" applyNumberFormat="1" applyFont="1" applyFill="1" applyAlignment="1">
      <alignment horizontal="left" indent="7"/>
    </xf>
    <xf numFmtId="1" fontId="39" fillId="2" borderId="0" xfId="0" applyNumberFormat="1" applyFont="1" applyFill="1" applyAlignment="1">
      <alignment horizontal="right"/>
    </xf>
    <xf numFmtId="1" fontId="39" fillId="2" borderId="0" xfId="0" applyNumberFormat="1" applyFont="1" applyFill="1" applyAlignment="1">
      <alignment horizontal="left" indent="1"/>
    </xf>
    <xf numFmtId="1" fontId="38" fillId="2" borderId="0" xfId="0" applyNumberFormat="1" applyFont="1" applyFill="1" applyAlignment="1">
      <alignment horizontal="center"/>
    </xf>
    <xf numFmtId="1" fontId="41" fillId="2" borderId="0" xfId="0" applyNumberFormat="1" applyFont="1" applyFill="1" applyAlignment="1">
      <alignment horizontal="center"/>
    </xf>
    <xf numFmtId="1" fontId="16" fillId="2" borderId="4" xfId="0" applyNumberFormat="1" applyFont="1" applyFill="1" applyBorder="1" applyAlignment="1">
      <alignment horizontal="center"/>
    </xf>
    <xf numFmtId="1" fontId="16" fillId="2" borderId="5" xfId="0" applyNumberFormat="1" applyFont="1" applyFill="1" applyBorder="1" applyAlignment="1">
      <alignment horizontal="center"/>
    </xf>
    <xf numFmtId="174" fontId="0" fillId="2" borderId="0" xfId="4" applyFont="1" applyFill="1" applyAlignment="1">
      <alignment horizontal="center"/>
    </xf>
    <xf numFmtId="0" fontId="0" fillId="2" borderId="0" xfId="0" applyFill="1" applyAlignment="1">
      <alignment horizontal="right"/>
    </xf>
    <xf numFmtId="178" fontId="35" fillId="2" borderId="3" xfId="0" applyNumberFormat="1" applyFont="1" applyFill="1" applyBorder="1" applyAlignment="1" applyProtection="1">
      <alignment horizontal="left"/>
      <protection locked="0"/>
    </xf>
    <xf numFmtId="178" fontId="35" fillId="2" borderId="0" xfId="0" applyNumberFormat="1" applyFont="1" applyFill="1" applyAlignment="1" applyProtection="1">
      <alignment horizontal="left"/>
      <protection locked="0"/>
    </xf>
    <xf numFmtId="167" fontId="29" fillId="2" borderId="2" xfId="0" applyNumberFormat="1" applyFont="1" applyFill="1" applyBorder="1" applyAlignment="1" applyProtection="1">
      <alignment horizontal="center"/>
      <protection locked="0"/>
    </xf>
    <xf numFmtId="0" fontId="43" fillId="20" borderId="1" xfId="0" applyFont="1" applyFill="1" applyBorder="1" applyAlignment="1">
      <alignment horizontal="left" indent="1"/>
    </xf>
    <xf numFmtId="0" fontId="0" fillId="2" borderId="67" xfId="0" applyFill="1" applyBorder="1"/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indent="2"/>
    </xf>
    <xf numFmtId="168" fontId="44" fillId="2" borderId="3" xfId="0" applyNumberFormat="1" applyFont="1" applyFill="1" applyBorder="1" applyAlignment="1">
      <alignment horizontal="center"/>
    </xf>
    <xf numFmtId="0" fontId="44" fillId="2" borderId="0" xfId="0" applyFont="1" applyFill="1" applyAlignment="1">
      <alignment horizontal="center"/>
    </xf>
    <xf numFmtId="1" fontId="44" fillId="2" borderId="3" xfId="0" applyNumberFormat="1" applyFont="1" applyFill="1" applyBorder="1" applyAlignment="1">
      <alignment horizontal="center"/>
    </xf>
    <xf numFmtId="167" fontId="44" fillId="2" borderId="3" xfId="0" applyNumberFormat="1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0" fontId="0" fillId="16" borderId="0" xfId="0" applyFill="1"/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left" indent="1"/>
    </xf>
    <xf numFmtId="0" fontId="0" fillId="16" borderId="0" xfId="0" applyFill="1" applyAlignment="1">
      <alignment horizontal="right"/>
    </xf>
    <xf numFmtId="0" fontId="0" fillId="16" borderId="2" xfId="0" applyFill="1" applyBorder="1" applyAlignment="1">
      <alignment horizontal="right" indent="1"/>
    </xf>
    <xf numFmtId="0" fontId="44" fillId="16" borderId="0" xfId="0" applyFont="1" applyFill="1"/>
    <xf numFmtId="179" fontId="9" fillId="16" borderId="0" xfId="0" applyNumberFormat="1" applyFont="1" applyFill="1" applyAlignment="1">
      <alignment horizontal="center"/>
    </xf>
    <xf numFmtId="0" fontId="31" fillId="16" borderId="0" xfId="0" applyFont="1" applyFill="1" applyAlignment="1">
      <alignment horizontal="center" vertical="center"/>
    </xf>
    <xf numFmtId="0" fontId="9" fillId="16" borderId="0" xfId="0" applyFont="1" applyFill="1" applyAlignment="1" applyProtection="1">
      <alignment horizontal="center" vertical="center"/>
      <protection locked="0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16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right" indent="1"/>
    </xf>
    <xf numFmtId="0" fontId="44" fillId="2" borderId="2" xfId="0" applyFont="1" applyFill="1" applyBorder="1" applyAlignment="1">
      <alignment horizontal="center"/>
    </xf>
    <xf numFmtId="0" fontId="9" fillId="16" borderId="1" xfId="0" applyFont="1" applyFill="1" applyBorder="1" applyProtection="1">
      <protection locked="0"/>
    </xf>
    <xf numFmtId="0" fontId="31" fillId="14" borderId="0" xfId="0" applyFont="1" applyFill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9" fillId="13" borderId="0" xfId="0" applyFont="1" applyFill="1" applyAlignment="1">
      <alignment horizontal="left" indent="1"/>
    </xf>
    <xf numFmtId="0" fontId="0" fillId="13" borderId="0" xfId="0" applyFill="1" applyAlignment="1">
      <alignment horizontal="left" indent="1"/>
    </xf>
    <xf numFmtId="0" fontId="31" fillId="14" borderId="60" xfId="0" applyFont="1" applyFill="1" applyBorder="1" applyAlignment="1">
      <alignment horizontal="center" vertical="center"/>
    </xf>
    <xf numFmtId="0" fontId="31" fillId="14" borderId="61" xfId="0" applyFont="1" applyFill="1" applyBorder="1" applyAlignment="1">
      <alignment horizontal="center" vertical="center"/>
    </xf>
    <xf numFmtId="0" fontId="31" fillId="14" borderId="62" xfId="0" applyFont="1" applyFill="1" applyBorder="1" applyAlignment="1">
      <alignment horizontal="center" vertical="center"/>
    </xf>
    <xf numFmtId="0" fontId="31" fillId="14" borderId="63" xfId="0" applyFont="1" applyFill="1" applyBorder="1" applyAlignment="1">
      <alignment horizontal="center" vertical="center"/>
    </xf>
    <xf numFmtId="0" fontId="31" fillId="14" borderId="64" xfId="0" applyFont="1" applyFill="1" applyBorder="1" applyAlignment="1">
      <alignment horizontal="center" vertical="center"/>
    </xf>
    <xf numFmtId="0" fontId="31" fillId="14" borderId="65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left" vertical="top" wrapText="1" indent="1"/>
    </xf>
    <xf numFmtId="0" fontId="33" fillId="13" borderId="0" xfId="0" applyFont="1" applyFill="1" applyAlignment="1">
      <alignment horizontal="left" indent="1"/>
    </xf>
    <xf numFmtId="14" fontId="0" fillId="13" borderId="0" xfId="0" applyNumberFormat="1" applyFill="1" applyAlignment="1">
      <alignment horizontal="left" indent="1"/>
    </xf>
    <xf numFmtId="0" fontId="0" fillId="2" borderId="22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6" fillId="2" borderId="0" xfId="0" applyFont="1" applyFill="1" applyAlignment="1" applyProtection="1">
      <alignment horizontal="center"/>
      <protection locked="0"/>
    </xf>
    <xf numFmtId="0" fontId="36" fillId="2" borderId="2" xfId="0" applyFont="1" applyFill="1" applyBorder="1" applyAlignment="1" applyProtection="1">
      <alignment horizontal="center"/>
      <protection locked="0"/>
    </xf>
    <xf numFmtId="0" fontId="34" fillId="3" borderId="7" xfId="0" applyFont="1" applyFill="1" applyBorder="1" applyAlignment="1" applyProtection="1">
      <alignment horizontal="center"/>
      <protection locked="0"/>
    </xf>
    <xf numFmtId="0" fontId="30" fillId="3" borderId="10" xfId="0" applyFont="1" applyFill="1" applyBorder="1" applyAlignment="1" applyProtection="1">
      <alignment horizontal="center"/>
      <protection locked="0"/>
    </xf>
    <xf numFmtId="0" fontId="30" fillId="3" borderId="8" xfId="0" applyFont="1" applyFill="1" applyBorder="1" applyAlignment="1" applyProtection="1">
      <alignment horizontal="center"/>
      <protection locked="0"/>
    </xf>
    <xf numFmtId="0" fontId="35" fillId="2" borderId="3" xfId="0" applyFont="1" applyFill="1" applyBorder="1" applyAlignment="1" applyProtection="1">
      <alignment horizontal="right"/>
      <protection locked="0"/>
    </xf>
    <xf numFmtId="0" fontId="35" fillId="2" borderId="0" xfId="0" applyFont="1" applyFill="1" applyAlignment="1" applyProtection="1">
      <alignment horizontal="right"/>
      <protection locked="0"/>
    </xf>
    <xf numFmtId="0" fontId="29" fillId="2" borderId="0" xfId="0" applyFont="1" applyFill="1" applyAlignment="1" applyProtection="1">
      <alignment horizontal="right"/>
      <protection locked="0"/>
    </xf>
    <xf numFmtId="0" fontId="35" fillId="2" borderId="4" xfId="0" applyFont="1" applyFill="1" applyBorder="1" applyAlignment="1" applyProtection="1">
      <alignment horizontal="right"/>
      <protection locked="0"/>
    </xf>
    <xf numFmtId="0" fontId="35" fillId="2" borderId="1" xfId="0" applyFont="1" applyFill="1" applyBorder="1" applyAlignment="1" applyProtection="1">
      <alignment horizontal="right"/>
      <protection locked="0"/>
    </xf>
    <xf numFmtId="0" fontId="35" fillId="3" borderId="7" xfId="0" applyFont="1" applyFill="1" applyBorder="1" applyAlignment="1" applyProtection="1">
      <alignment horizontal="center"/>
      <protection locked="0"/>
    </xf>
    <xf numFmtId="0" fontId="29" fillId="3" borderId="10" xfId="0" applyFont="1" applyFill="1" applyBorder="1" applyAlignment="1" applyProtection="1">
      <alignment horizontal="center"/>
      <protection locked="0"/>
    </xf>
    <xf numFmtId="0" fontId="29" fillId="3" borderId="8" xfId="0" applyFont="1" applyFill="1" applyBorder="1" applyAlignment="1" applyProtection="1">
      <alignment horizontal="center"/>
      <protection locked="0"/>
    </xf>
    <xf numFmtId="0" fontId="35" fillId="15" borderId="7" xfId="0" applyFont="1" applyFill="1" applyBorder="1" applyAlignment="1" applyProtection="1">
      <alignment horizontal="center"/>
      <protection locked="0"/>
    </xf>
    <xf numFmtId="0" fontId="35" fillId="15" borderId="10" xfId="0" applyFont="1" applyFill="1" applyBorder="1" applyAlignment="1" applyProtection="1">
      <alignment horizontal="center"/>
      <protection locked="0"/>
    </xf>
    <xf numFmtId="0" fontId="35" fillId="15" borderId="8" xfId="0" applyFont="1" applyFill="1" applyBorder="1" applyAlignment="1" applyProtection="1">
      <alignment horizontal="center"/>
      <protection locked="0"/>
    </xf>
    <xf numFmtId="0" fontId="43" fillId="20" borderId="1" xfId="0" applyFont="1" applyFill="1" applyBorder="1" applyAlignment="1">
      <alignment horizontal="center"/>
    </xf>
    <xf numFmtId="0" fontId="43" fillId="20" borderId="5" xfId="0" applyFont="1" applyFill="1" applyBorder="1" applyAlignment="1">
      <alignment horizontal="center"/>
    </xf>
    <xf numFmtId="1" fontId="38" fillId="19" borderId="7" xfId="0" quotePrefix="1" applyNumberFormat="1" applyFont="1" applyFill="1" applyBorder="1" applyAlignment="1">
      <alignment horizontal="center" vertical="center"/>
    </xf>
    <xf numFmtId="1" fontId="38" fillId="19" borderId="10" xfId="0" quotePrefix="1" applyNumberFormat="1" applyFont="1" applyFill="1" applyBorder="1" applyAlignment="1">
      <alignment horizontal="center" vertical="center"/>
    </xf>
    <xf numFmtId="1" fontId="38" fillId="19" borderId="8" xfId="0" quotePrefix="1" applyNumberFormat="1" applyFont="1" applyFill="1" applyBorder="1" applyAlignment="1">
      <alignment horizontal="center" vertical="center"/>
    </xf>
    <xf numFmtId="1" fontId="38" fillId="19" borderId="3" xfId="0" quotePrefix="1" applyNumberFormat="1" applyFont="1" applyFill="1" applyBorder="1" applyAlignment="1">
      <alignment horizontal="center" vertical="center"/>
    </xf>
    <xf numFmtId="1" fontId="38" fillId="19" borderId="0" xfId="0" quotePrefix="1" applyNumberFormat="1" applyFont="1" applyFill="1" applyAlignment="1">
      <alignment horizontal="center" vertical="center"/>
    </xf>
    <xf numFmtId="1" fontId="38" fillId="19" borderId="2" xfId="0" quotePrefix="1" applyNumberFormat="1" applyFont="1" applyFill="1" applyBorder="1" applyAlignment="1">
      <alignment horizontal="center" vertical="center"/>
    </xf>
    <xf numFmtId="1" fontId="38" fillId="19" borderId="4" xfId="0" quotePrefix="1" applyNumberFormat="1" applyFont="1" applyFill="1" applyBorder="1" applyAlignment="1">
      <alignment horizontal="center" vertical="center"/>
    </xf>
    <xf numFmtId="1" fontId="38" fillId="19" borderId="1" xfId="0" quotePrefix="1" applyNumberFormat="1" applyFont="1" applyFill="1" applyBorder="1" applyAlignment="1">
      <alignment horizontal="center" vertical="center"/>
    </xf>
    <xf numFmtId="1" fontId="38" fillId="19" borderId="5" xfId="0" quotePrefix="1" applyNumberFormat="1" applyFont="1" applyFill="1" applyBorder="1" applyAlignment="1">
      <alignment horizontal="center" vertical="center"/>
    </xf>
    <xf numFmtId="1" fontId="38" fillId="19" borderId="7" xfId="4" quotePrefix="1" applyNumberFormat="1" applyFont="1" applyFill="1" applyBorder="1" applyAlignment="1">
      <alignment horizontal="center" vertical="center"/>
    </xf>
    <xf numFmtId="1" fontId="38" fillId="19" borderId="10" xfId="4" applyNumberFormat="1" applyFont="1" applyFill="1" applyBorder="1" applyAlignment="1">
      <alignment horizontal="center" vertical="center"/>
    </xf>
    <xf numFmtId="1" fontId="38" fillId="19" borderId="8" xfId="4" applyNumberFormat="1" applyFont="1" applyFill="1" applyBorder="1" applyAlignment="1">
      <alignment horizontal="center" vertical="center"/>
    </xf>
    <xf numFmtId="1" fontId="38" fillId="19" borderId="3" xfId="4" applyNumberFormat="1" applyFont="1" applyFill="1" applyBorder="1" applyAlignment="1">
      <alignment horizontal="center" vertical="center"/>
    </xf>
    <xf numFmtId="1" fontId="38" fillId="19" borderId="0" xfId="4" applyNumberFormat="1" applyFont="1" applyFill="1" applyAlignment="1">
      <alignment horizontal="center" vertical="center"/>
    </xf>
    <xf numFmtId="1" fontId="38" fillId="19" borderId="2" xfId="4" applyNumberFormat="1" applyFont="1" applyFill="1" applyBorder="1" applyAlignment="1">
      <alignment horizontal="center" vertical="center"/>
    </xf>
    <xf numFmtId="1" fontId="38" fillId="19" borderId="4" xfId="4" applyNumberFormat="1" applyFont="1" applyFill="1" applyBorder="1" applyAlignment="1">
      <alignment horizontal="center" vertical="center"/>
    </xf>
    <xf numFmtId="1" fontId="38" fillId="19" borderId="1" xfId="4" applyNumberFormat="1" applyFont="1" applyFill="1" applyBorder="1" applyAlignment="1">
      <alignment horizontal="center" vertical="center"/>
    </xf>
    <xf numFmtId="1" fontId="38" fillId="19" borderId="5" xfId="4" applyNumberFormat="1" applyFont="1" applyFill="1" applyBorder="1" applyAlignment="1">
      <alignment horizontal="center" vertical="center"/>
    </xf>
    <xf numFmtId="1" fontId="38" fillId="21" borderId="7" xfId="4" quotePrefix="1" applyNumberFormat="1" applyFont="1" applyFill="1" applyBorder="1" applyAlignment="1">
      <alignment horizontal="center" vertical="center"/>
    </xf>
    <xf numFmtId="1" fontId="38" fillId="21" borderId="10" xfId="4" applyNumberFormat="1" applyFont="1" applyFill="1" applyBorder="1" applyAlignment="1">
      <alignment horizontal="center" vertical="center"/>
    </xf>
    <xf numFmtId="1" fontId="38" fillId="21" borderId="8" xfId="4" applyNumberFormat="1" applyFont="1" applyFill="1" applyBorder="1" applyAlignment="1">
      <alignment horizontal="center" vertical="center"/>
    </xf>
    <xf numFmtId="1" fontId="16" fillId="2" borderId="0" xfId="0" applyNumberFormat="1" applyFont="1" applyFill="1" applyAlignment="1">
      <alignment horizontal="left" vertical="center" indent="2"/>
    </xf>
    <xf numFmtId="1" fontId="16" fillId="2" borderId="2" xfId="0" applyNumberFormat="1" applyFont="1" applyFill="1" applyBorder="1" applyAlignment="1">
      <alignment horizontal="left" vertical="center" indent="2"/>
    </xf>
    <xf numFmtId="0" fontId="8" fillId="2" borderId="46" xfId="0" applyFont="1" applyFill="1" applyBorder="1" applyAlignment="1">
      <alignment horizontal="right"/>
    </xf>
    <xf numFmtId="0" fontId="8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8" fillId="2" borderId="8" xfId="0" applyFont="1" applyFill="1" applyBorder="1" applyAlignment="1">
      <alignment horizontal="right" vertical="center"/>
    </xf>
    <xf numFmtId="0" fontId="8" fillId="2" borderId="5" xfId="0" applyFont="1" applyFill="1" applyBorder="1" applyAlignment="1">
      <alignment horizontal="right" vertical="center"/>
    </xf>
    <xf numFmtId="168" fontId="8" fillId="3" borderId="12" xfId="0" applyNumberFormat="1" applyFont="1" applyFill="1" applyBorder="1" applyAlignment="1">
      <alignment horizontal="center"/>
    </xf>
    <xf numFmtId="168" fontId="8" fillId="3" borderId="9" xfId="0" applyNumberFormat="1" applyFont="1" applyFill="1" applyBorder="1" applyAlignment="1">
      <alignment horizontal="center"/>
    </xf>
    <xf numFmtId="168" fontId="8" fillId="3" borderId="6" xfId="0" applyNumberFormat="1" applyFont="1" applyFill="1" applyBorder="1" applyAlignment="1">
      <alignment horizontal="center"/>
    </xf>
    <xf numFmtId="0" fontId="8" fillId="2" borderId="46" xfId="0" applyFont="1" applyFill="1" applyBorder="1" applyAlignment="1" applyProtection="1">
      <alignment horizontal="right"/>
      <protection locked="0"/>
    </xf>
    <xf numFmtId="0" fontId="8" fillId="2" borderId="0" xfId="0" applyFont="1" applyFill="1" applyAlignment="1" applyProtection="1">
      <alignment horizontal="right"/>
      <protection locked="0"/>
    </xf>
    <xf numFmtId="0" fontId="0" fillId="11" borderId="12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58" xfId="0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1" fillId="3" borderId="57" xfId="0" applyFont="1" applyFill="1" applyBorder="1" applyAlignment="1">
      <alignment horizontal="center"/>
    </xf>
    <xf numFmtId="0" fontId="1" fillId="3" borderId="58" xfId="0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8" fillId="11" borderId="1" xfId="0" applyFont="1" applyFill="1" applyBorder="1" applyAlignment="1">
      <alignment horizontal="left"/>
    </xf>
  </cellXfs>
  <cellStyles count="7">
    <cellStyle name="Milliers 2" xfId="6" xr:uid="{2D4BB808-D9AE-409C-A5AA-55168022105C}"/>
    <cellStyle name="Normal" xfId="0" builtinId="0"/>
    <cellStyle name="Normal 2" xfId="4" xr:uid="{2C17F0DD-91C3-4702-A79A-4B3858A94130}"/>
    <cellStyle name="Normal 5" xfId="2" xr:uid="{764F606C-B0A0-4455-BADF-417FD2DA2575}"/>
    <cellStyle name="Normal 6" xfId="3" xr:uid="{3010C7B9-83AC-4406-9FB7-9EF1A2B6DB21}"/>
    <cellStyle name="Normal_tour" xfId="1" xr:uid="{00000000-0005-0000-0000-000001000000}"/>
    <cellStyle name="Pourcentage 2" xfId="5" xr:uid="{1FA97F0F-18C8-40F6-9326-0DAC5CE89162}"/>
  </cellStyles>
  <dxfs count="7"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772902540658102E-2"/>
          <c:y val="6.6985724181514689E-2"/>
          <c:w val="0.7023503171599097"/>
          <c:h val="0.82296746851575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Recuperator_old!$U$30</c:f>
              <c:strCache>
                <c:ptCount val="1"/>
                <c:pt idx="0">
                  <c:v>Cp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trendline>
            <c:spPr>
              <a:ln w="25400">
                <a:solidFill>
                  <a:srgbClr val="000000"/>
                </a:solidFill>
                <a:prstDash val="sysDash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Mode val="edge"/>
                  <c:yMode val="edge"/>
                  <c:x val="0.18668419210755971"/>
                  <c:y val="0.18660308879136303"/>
                </c:manualLayout>
              </c:layout>
              <c:numFmt formatCode="0.0000E+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fr-FR"/>
                </a:p>
              </c:txPr>
            </c:trendlineLbl>
          </c:trendline>
          <c:xVal>
            <c:numRef>
              <c:f>Recuperator_old!$T$31:$T$39</c:f>
              <c:numCache>
                <c:formatCode>General</c:formatCode>
                <c:ptCount val="9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</c:numCache>
            </c:numRef>
          </c:xVal>
          <c:yVal>
            <c:numRef>
              <c:f>Recuperator_old!$U$31:$U$39</c:f>
              <c:numCache>
                <c:formatCode>General</c:formatCode>
                <c:ptCount val="9"/>
                <c:pt idx="0">
                  <c:v>4218</c:v>
                </c:pt>
                <c:pt idx="1">
                  <c:v>4178</c:v>
                </c:pt>
                <c:pt idx="2">
                  <c:v>4196</c:v>
                </c:pt>
                <c:pt idx="3">
                  <c:v>4216</c:v>
                </c:pt>
                <c:pt idx="4">
                  <c:v>4250</c:v>
                </c:pt>
                <c:pt idx="5">
                  <c:v>4283</c:v>
                </c:pt>
                <c:pt idx="6">
                  <c:v>4342</c:v>
                </c:pt>
                <c:pt idx="7">
                  <c:v>4417</c:v>
                </c:pt>
                <c:pt idx="8">
                  <c:v>4505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4E-4CFA-A2AB-5F42F1C41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68416"/>
        <c:axId val="148670336"/>
      </c:scatterChart>
      <c:valAx>
        <c:axId val="14866841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°c</a:t>
                </a:r>
              </a:p>
            </c:rich>
          </c:tx>
          <c:layout>
            <c:manualLayout>
              <c:xMode val="edge"/>
              <c:yMode val="edge"/>
              <c:x val="0.42689322450881628"/>
              <c:y val="0.921053636238055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8670336"/>
        <c:crosses val="autoZero"/>
        <c:crossBetween val="midCat"/>
      </c:valAx>
      <c:valAx>
        <c:axId val="14867033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86684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483064087911083"/>
          <c:y val="0.64593376889317866"/>
          <c:w val="0.20496096616004836"/>
          <c:h val="0.1626796158693927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  <c:txPr>
        <a:bodyPr/>
        <a:lstStyle/>
        <a:p>
          <a:pPr>
            <a:defRPr sz="9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72" footer="0.4921259845000007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691753811948825E-2"/>
          <c:y val="5.6764566929133849E-2"/>
          <c:w val="0.97010124146925869"/>
          <c:h val="0.9338268821335193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ResultsHEAT!$Z$50:$Z$19883</c:f>
              <c:numCache>
                <c:formatCode>0</c:formatCode>
                <c:ptCount val="19834"/>
              </c:numCache>
            </c:numRef>
          </c:xVal>
          <c:yVal>
            <c:numRef>
              <c:f>ResultsHEAT!$AA$50:$AA$19883</c:f>
              <c:numCache>
                <c:formatCode>0</c:formatCode>
                <c:ptCount val="19834"/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ResultsHEAT!#REF!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4D-485C-96DF-4F403094E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945336"/>
        <c:axId val="261944552"/>
      </c:scatterChart>
      <c:scatterChart>
        <c:scatterStyle val="lineMarker"/>
        <c:varyColors val="0"/>
        <c:ser>
          <c:idx val="2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ResultsHEAT!$AB$50:$AB$19883</c:f>
              <c:numCache>
                <c:formatCode>0</c:formatCode>
                <c:ptCount val="19834"/>
              </c:numCache>
            </c:numRef>
          </c:xVal>
          <c:yVal>
            <c:numRef>
              <c:f>ResultsHEAT!$AC$50:$AC$19883</c:f>
              <c:numCache>
                <c:formatCode>0</c:formatCode>
                <c:ptCount val="19834"/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ResultsHEAT!#REF!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4D-485C-96DF-4F403094E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943768"/>
        <c:axId val="257204120"/>
      </c:scatterChart>
      <c:valAx>
        <c:axId val="26194533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one"/>
        <c:crossAx val="261944552"/>
        <c:crosses val="autoZero"/>
        <c:crossBetween val="midCat"/>
      </c:valAx>
      <c:valAx>
        <c:axId val="2619445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61945336"/>
        <c:crosses val="autoZero"/>
        <c:crossBetween val="midCat"/>
      </c:valAx>
      <c:valAx>
        <c:axId val="26194376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one"/>
        <c:crossAx val="257204120"/>
        <c:crosses val="autoZero"/>
        <c:crossBetween val="midCat"/>
      </c:valAx>
      <c:valAx>
        <c:axId val="257204120"/>
        <c:scaling>
          <c:orientation val="minMax"/>
        </c:scaling>
        <c:delete val="0"/>
        <c:axPos val="r"/>
        <c:numFmt formatCode="0" sourceLinked="1"/>
        <c:majorTickMark val="cross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61943768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887510468097431"/>
          <c:y val="0.56414718351886262"/>
          <c:w val="0.49053874387938318"/>
          <c:h val="0.34565944708575452"/>
        </c:manualLayout>
      </c:layout>
      <c:overlay val="0"/>
      <c:spPr>
        <a:gradFill rotWithShape="1">
          <a:gsLst>
            <a:gs pos="0">
              <a:schemeClr val="accent2">
                <a:tint val="50000"/>
                <a:satMod val="300000"/>
              </a:schemeClr>
            </a:gs>
            <a:gs pos="35000">
              <a:schemeClr val="accent2">
                <a:tint val="37000"/>
                <a:satMod val="300000"/>
              </a:schemeClr>
            </a:gs>
            <a:gs pos="100000">
              <a:schemeClr val="accent2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2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  <c:txPr>
        <a:bodyPr/>
        <a:lstStyle/>
        <a:p>
          <a:pPr>
            <a:defRPr sz="105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339" footer="0.4921259845000033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60924372019943"/>
          <c:y val="9.3555188526496219E-2"/>
          <c:w val="0.72093101221948552"/>
          <c:h val="0.72349345793823283"/>
        </c:manualLayout>
      </c:layout>
      <c:scatterChart>
        <c:scatterStyle val="lineMarker"/>
        <c:varyColors val="0"/>
        <c:ser>
          <c:idx val="3"/>
          <c:order val="0"/>
          <c:tx>
            <c:v>Tubes power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Results!$S$39:$S$66</c:f>
              <c:numCache>
                <c:formatCode>0.0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Results!$U$39:$U$66</c:f>
              <c:numCache>
                <c:formatCode>0.0</c:formatCode>
                <c:ptCount val="28"/>
                <c:pt idx="0">
                  <c:v>39.178063157894734</c:v>
                </c:pt>
                <c:pt idx="1">
                  <c:v>51.540491228070174</c:v>
                </c:pt>
                <c:pt idx="2">
                  <c:v>53.998905263157894</c:v>
                </c:pt>
                <c:pt idx="3">
                  <c:v>31.722877192982455</c:v>
                </c:pt>
                <c:pt idx="4">
                  <c:v>33.818210526315788</c:v>
                </c:pt>
                <c:pt idx="5">
                  <c:v>42.112561403508778</c:v>
                </c:pt>
                <c:pt idx="6">
                  <c:v>42.865557894736845</c:v>
                </c:pt>
                <c:pt idx="7">
                  <c:v>25.531000000000002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9-40C4-BEE1-911A8B5A1BC5}"/>
            </c:ext>
          </c:extLst>
        </c:ser>
        <c:ser>
          <c:idx val="1"/>
          <c:order val="1"/>
          <c:tx>
            <c:v>Tubes temperature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Results!$S$39:$S$66</c:f>
              <c:numCache>
                <c:formatCode>0.0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Results!$V$39:$V$66</c:f>
              <c:numCache>
                <c:formatCode>0.0</c:formatCode>
                <c:ptCount val="28"/>
                <c:pt idx="0">
                  <c:v>950</c:v>
                </c:pt>
                <c:pt idx="1">
                  <c:v>950</c:v>
                </c:pt>
                <c:pt idx="2">
                  <c:v>950</c:v>
                </c:pt>
                <c:pt idx="3">
                  <c:v>950</c:v>
                </c:pt>
                <c:pt idx="4">
                  <c:v>950</c:v>
                </c:pt>
                <c:pt idx="5">
                  <c:v>950</c:v>
                </c:pt>
                <c:pt idx="6">
                  <c:v>950</c:v>
                </c:pt>
                <c:pt idx="7">
                  <c:v>950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49-40C4-BEE1-911A8B5A1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33600"/>
        <c:axId val="212236160"/>
      </c:scatterChart>
      <c:valAx>
        <c:axId val="212233600"/>
        <c:scaling>
          <c:orientation val="minMax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Rows</a:t>
                </a:r>
              </a:p>
            </c:rich>
          </c:tx>
          <c:layout>
            <c:manualLayout>
              <c:xMode val="edge"/>
              <c:yMode val="edge"/>
              <c:x val="0.48283545952104828"/>
              <c:y val="0.9106037836746497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12236160"/>
        <c:crosses val="autoZero"/>
        <c:crossBetween val="midCat"/>
        <c:majorUnit val="1"/>
        <c:minorUnit val="0.5"/>
      </c:valAx>
      <c:valAx>
        <c:axId val="212236160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12233600"/>
        <c:crosses val="autoZero"/>
        <c:crossBetween val="midCat"/>
        <c:majorUnit val="100"/>
        <c:minorUnit val="25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1749768295967016"/>
          <c:y val="0.38253677086389454"/>
          <c:w val="0.22148418194146946"/>
          <c:h val="0.160083322589781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72" footer="0.49212598450000072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4634175388591306"/>
          <c:y val="0.19607937001843034"/>
          <c:w val="0.69512333095808565"/>
          <c:h val="0.6666698580626645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7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6644-4BD1-AEC4-E67124242F08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644-4BD1-AEC4-E67124242F08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Results!$O$28:$O$30</c:f>
              <c:strCache>
                <c:ptCount val="3"/>
                <c:pt idx="0">
                  <c:v>Strip</c:v>
                </c:pt>
                <c:pt idx="1">
                  <c:v>Fume</c:v>
                </c:pt>
                <c:pt idx="2">
                  <c:v>Wall + divers</c:v>
                </c:pt>
              </c:strCache>
            </c:strRef>
          </c:cat>
          <c:val>
            <c:numRef>
              <c:f>Results!$P$28:$P$30</c:f>
              <c:numCache>
                <c:formatCode>0.0</c:formatCode>
                <c:ptCount val="3"/>
                <c:pt idx="0">
                  <c:v>2807.8684000000007</c:v>
                </c:pt>
                <c:pt idx="1">
                  <c:v>174.67164736842051</c:v>
                </c:pt>
                <c:pt idx="2">
                  <c:v>510.8929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44-4BD1-AEC4-E67124242F08}"/>
            </c:ext>
          </c:extLst>
        </c:ser>
        <c:dLbls>
          <c:showLegendKey val="0"/>
          <c:showVal val="0"/>
          <c:showCatName val="0"/>
          <c:showSerName val="1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72" footer="0.4921259845000007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17127071823205"/>
          <c:y val="0.19026548672566418"/>
          <c:w val="0.73038674033149176"/>
          <c:h val="0.61504424778761069"/>
        </c:manualLayout>
      </c:layout>
      <c:scatterChart>
        <c:scatterStyle val="lineMarker"/>
        <c:varyColors val="0"/>
        <c:ser>
          <c:idx val="0"/>
          <c:order val="0"/>
          <c:tx>
            <c:v>Strip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Results!$R$39:$R$66</c:f>
              <c:numCache>
                <c:formatCode>0.0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Results!$T$39:$T$66</c:f>
              <c:numCache>
                <c:formatCode>0.0</c:formatCode>
                <c:ptCount val="28"/>
                <c:pt idx="0">
                  <c:v>710</c:v>
                </c:pt>
                <c:pt idx="1">
                  <c:v>732.29650000000004</c:v>
                </c:pt>
                <c:pt idx="2">
                  <c:v>750.49680000000001</c:v>
                </c:pt>
                <c:pt idx="3">
                  <c:v>769.68650000000002</c:v>
                </c:pt>
                <c:pt idx="4">
                  <c:v>788.99109999999996</c:v>
                </c:pt>
                <c:pt idx="5">
                  <c:v>805.36739999999998</c:v>
                </c:pt>
                <c:pt idx="6">
                  <c:v>821.92769999999996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4F-49B2-ABD3-2E8898733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90560"/>
        <c:axId val="212317696"/>
      </c:scatterChart>
      <c:valAx>
        <c:axId val="2122905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</a:t>
                </a:r>
              </a:p>
            </c:rich>
          </c:tx>
          <c:layout>
            <c:manualLayout>
              <c:xMode val="edge"/>
              <c:yMode val="edge"/>
              <c:x val="0.48950276243093932"/>
              <c:y val="0.9048672566371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12317696"/>
        <c:crosses val="autoZero"/>
        <c:crossBetween val="midCat"/>
        <c:majorUnit val="1"/>
        <c:minorUnit val="0.5"/>
      </c:valAx>
      <c:valAx>
        <c:axId val="212317696"/>
        <c:scaling>
          <c:orientation val="minMax"/>
          <c:max val="1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12290560"/>
        <c:crosses val="autoZero"/>
        <c:crossBetween val="midCat"/>
        <c:majorUnit val="100"/>
        <c:minorUnit val="25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5745856353591252"/>
          <c:y val="0.21681415929203587"/>
          <c:w val="0.11381215469613258"/>
          <c:h val="0.126106194690265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72" footer="0.49212598450000072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57105606258502E-2"/>
          <c:y val="6.6825775656324568E-2"/>
          <c:w val="0.70143415906127748"/>
          <c:h val="0.82338902147971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Recuperator!$Y$39</c:f>
              <c:strCache>
                <c:ptCount val="1"/>
                <c:pt idx="0">
                  <c:v>Cp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trendline>
            <c:spPr>
              <a:ln w="25400">
                <a:solidFill>
                  <a:srgbClr val="000000"/>
                </a:solidFill>
                <a:prstDash val="sysDash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Mode val="edge"/>
                  <c:yMode val="edge"/>
                  <c:x val="0.17079530638852691"/>
                  <c:y val="0.19093078758949944"/>
                </c:manualLayout>
              </c:layout>
              <c:numFmt formatCode="0.0000E+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fr-FR"/>
                </a:p>
              </c:txPr>
            </c:trendlineLbl>
          </c:trendline>
          <c:xVal>
            <c:numRef>
              <c:f>Recuperator!$X$40:$X$48</c:f>
              <c:numCache>
                <c:formatCode>General</c:formatCode>
                <c:ptCount val="9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</c:numCache>
            </c:numRef>
          </c:xVal>
          <c:yVal>
            <c:numRef>
              <c:f>Recuperator!$Y$40:$Y$48</c:f>
              <c:numCache>
                <c:formatCode>General</c:formatCode>
                <c:ptCount val="9"/>
                <c:pt idx="0">
                  <c:v>4218</c:v>
                </c:pt>
                <c:pt idx="1">
                  <c:v>4178</c:v>
                </c:pt>
                <c:pt idx="2">
                  <c:v>4196</c:v>
                </c:pt>
                <c:pt idx="3">
                  <c:v>4216</c:v>
                </c:pt>
                <c:pt idx="4">
                  <c:v>4250</c:v>
                </c:pt>
                <c:pt idx="5">
                  <c:v>4283</c:v>
                </c:pt>
                <c:pt idx="6">
                  <c:v>4342</c:v>
                </c:pt>
                <c:pt idx="7">
                  <c:v>4417</c:v>
                </c:pt>
                <c:pt idx="8">
                  <c:v>4505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23-4187-8076-24A73999B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1104"/>
        <c:axId val="218861952"/>
      </c:scatterChart>
      <c:valAx>
        <c:axId val="2188311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°c</a:t>
                </a:r>
              </a:p>
            </c:rich>
          </c:tx>
          <c:layout>
            <c:manualLayout>
              <c:xMode val="edge"/>
              <c:yMode val="edge"/>
              <c:x val="0.42633637548891862"/>
              <c:y val="0.921241050119333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18861952"/>
        <c:crosses val="autoZero"/>
        <c:crossBetween val="midCat"/>
      </c:valAx>
      <c:valAx>
        <c:axId val="2188619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18831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541069100391138"/>
          <c:y val="0.64677804295942976"/>
          <c:w val="0.2046936114732725"/>
          <c:h val="0.162291169451074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  <c:txPr>
        <a:bodyPr/>
        <a:lstStyle/>
        <a:p>
          <a:pPr>
            <a:defRPr sz="9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72" footer="0.4921259845000007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9525</xdr:rowOff>
    </xdr:from>
    <xdr:to>
      <xdr:col>12</xdr:col>
      <xdr:colOff>9525</xdr:colOff>
      <xdr:row>27</xdr:row>
      <xdr:rowOff>9525</xdr:rowOff>
    </xdr:to>
    <xdr:grpSp>
      <xdr:nvGrpSpPr>
        <xdr:cNvPr id="4391" name="Group 25">
          <a:extLst>
            <a:ext uri="{FF2B5EF4-FFF2-40B4-BE49-F238E27FC236}">
              <a16:creationId xmlns:a16="http://schemas.microsoft.com/office/drawing/2014/main" id="{00000000-0008-0000-0500-000027110000}"/>
            </a:ext>
          </a:extLst>
        </xdr:cNvPr>
        <xdr:cNvGrpSpPr>
          <a:grpSpLocks/>
        </xdr:cNvGrpSpPr>
      </xdr:nvGrpSpPr>
      <xdr:grpSpPr bwMode="auto">
        <a:xfrm>
          <a:off x="7343775" y="342900"/>
          <a:ext cx="3295650" cy="4086225"/>
          <a:chOff x="739" y="35"/>
          <a:chExt cx="346" cy="425"/>
        </a:xfrm>
      </xdr:grpSpPr>
      <xdr:sp macro="" textlink="">
        <xdr:nvSpPr>
          <xdr:cNvPr id="4400" name="Rectangle 3">
            <a:extLst>
              <a:ext uri="{FF2B5EF4-FFF2-40B4-BE49-F238E27FC236}">
                <a16:creationId xmlns:a16="http://schemas.microsoft.com/office/drawing/2014/main" id="{00000000-0008-0000-0500-000030110000}"/>
              </a:ext>
            </a:extLst>
          </xdr:cNvPr>
          <xdr:cNvSpPr>
            <a:spLocks noChangeArrowheads="1"/>
          </xdr:cNvSpPr>
        </xdr:nvSpPr>
        <xdr:spPr bwMode="auto">
          <a:xfrm>
            <a:off x="772" y="85"/>
            <a:ext cx="65" cy="18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00" name="Text Box 4">
            <a:extLst>
              <a:ext uri="{FF2B5EF4-FFF2-40B4-BE49-F238E27FC236}">
                <a16:creationId xmlns:a16="http://schemas.microsoft.com/office/drawing/2014/main" id="{00000000-0008-0000-0500-0000041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85" y="93"/>
            <a:ext cx="44" cy="165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O</a:t>
            </a:r>
          </a:p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N</a:t>
            </a:r>
          </a:p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V</a:t>
            </a:r>
          </a:p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E</a:t>
            </a:r>
          </a:p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I</a:t>
            </a:r>
          </a:p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O</a:t>
            </a:r>
          </a:p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N</a:t>
            </a:r>
          </a:p>
        </xdr:txBody>
      </xdr:sp>
      <xdr:sp macro="" textlink="">
        <xdr:nvSpPr>
          <xdr:cNvPr id="4402" name="Line 5">
            <a:extLst>
              <a:ext uri="{FF2B5EF4-FFF2-40B4-BE49-F238E27FC236}">
                <a16:creationId xmlns:a16="http://schemas.microsoft.com/office/drawing/2014/main" id="{00000000-0008-0000-0500-0000321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06" y="35"/>
            <a:ext cx="0" cy="48"/>
          </a:xfrm>
          <a:prstGeom prst="line">
            <a:avLst/>
          </a:prstGeom>
          <a:noFill/>
          <a:ln w="25400">
            <a:solidFill>
              <a:srgbClr val="969696"/>
            </a:solidFill>
            <a:round/>
            <a:headEnd/>
            <a:tailEnd type="triangle" w="lg" len="lg"/>
          </a:ln>
        </xdr:spPr>
      </xdr:sp>
      <xdr:sp macro="" textlink="">
        <xdr:nvSpPr>
          <xdr:cNvPr id="4403" name="Line 6">
            <a:extLst>
              <a:ext uri="{FF2B5EF4-FFF2-40B4-BE49-F238E27FC236}">
                <a16:creationId xmlns:a16="http://schemas.microsoft.com/office/drawing/2014/main" id="{00000000-0008-0000-0500-0000331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05" y="271"/>
            <a:ext cx="1" cy="33"/>
          </a:xfrm>
          <a:prstGeom prst="line">
            <a:avLst/>
          </a:prstGeom>
          <a:noFill/>
          <a:ln w="25400">
            <a:solidFill>
              <a:srgbClr val="969696"/>
            </a:solidFill>
            <a:round/>
            <a:headEnd/>
            <a:tailEnd type="oval" w="med" len="med"/>
          </a:ln>
        </xdr:spPr>
      </xdr:sp>
      <xdr:sp macro="" textlink="">
        <xdr:nvSpPr>
          <xdr:cNvPr id="4404" name="Rectangle 7">
            <a:extLst>
              <a:ext uri="{FF2B5EF4-FFF2-40B4-BE49-F238E27FC236}">
                <a16:creationId xmlns:a16="http://schemas.microsoft.com/office/drawing/2014/main" id="{00000000-0008-0000-0500-000034110000}"/>
              </a:ext>
            </a:extLst>
          </xdr:cNvPr>
          <xdr:cNvSpPr>
            <a:spLocks noChangeArrowheads="1"/>
          </xdr:cNvSpPr>
        </xdr:nvSpPr>
        <xdr:spPr bwMode="auto">
          <a:xfrm>
            <a:off x="924" y="342"/>
            <a:ext cx="82" cy="6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405" name="Line 8">
            <a:extLst>
              <a:ext uri="{FF2B5EF4-FFF2-40B4-BE49-F238E27FC236}">
                <a16:creationId xmlns:a16="http://schemas.microsoft.com/office/drawing/2014/main" id="{00000000-0008-0000-0500-000035110000}"/>
              </a:ext>
            </a:extLst>
          </xdr:cNvPr>
          <xdr:cNvSpPr>
            <a:spLocks noChangeShapeType="1"/>
          </xdr:cNvSpPr>
        </xdr:nvSpPr>
        <xdr:spPr bwMode="auto">
          <a:xfrm>
            <a:off x="945" y="354"/>
            <a:ext cx="3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6" name="Line 9">
            <a:extLst>
              <a:ext uri="{FF2B5EF4-FFF2-40B4-BE49-F238E27FC236}">
                <a16:creationId xmlns:a16="http://schemas.microsoft.com/office/drawing/2014/main" id="{00000000-0008-0000-0500-000036110000}"/>
              </a:ext>
            </a:extLst>
          </xdr:cNvPr>
          <xdr:cNvSpPr>
            <a:spLocks noChangeShapeType="1"/>
          </xdr:cNvSpPr>
        </xdr:nvSpPr>
        <xdr:spPr bwMode="auto">
          <a:xfrm>
            <a:off x="946" y="356"/>
            <a:ext cx="19" cy="1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7" name="Line 10">
            <a:extLst>
              <a:ext uri="{FF2B5EF4-FFF2-40B4-BE49-F238E27FC236}">
                <a16:creationId xmlns:a16="http://schemas.microsoft.com/office/drawing/2014/main" id="{00000000-0008-0000-0500-0000371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48" y="371"/>
            <a:ext cx="16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8" name="Line 11">
            <a:extLst>
              <a:ext uri="{FF2B5EF4-FFF2-40B4-BE49-F238E27FC236}">
                <a16:creationId xmlns:a16="http://schemas.microsoft.com/office/drawing/2014/main" id="{00000000-0008-0000-0500-0000381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49" y="387"/>
            <a:ext cx="30" cy="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9" name="Line 12">
            <a:extLst>
              <a:ext uri="{FF2B5EF4-FFF2-40B4-BE49-F238E27FC236}">
                <a16:creationId xmlns:a16="http://schemas.microsoft.com/office/drawing/2014/main" id="{00000000-0008-0000-0500-000039110000}"/>
              </a:ext>
            </a:extLst>
          </xdr:cNvPr>
          <xdr:cNvSpPr>
            <a:spLocks noChangeShapeType="1"/>
          </xdr:cNvSpPr>
        </xdr:nvSpPr>
        <xdr:spPr bwMode="auto">
          <a:xfrm>
            <a:off x="839" y="169"/>
            <a:ext cx="42" cy="1"/>
          </a:xfrm>
          <a:prstGeom prst="line">
            <a:avLst/>
          </a:prstGeom>
          <a:noFill/>
          <a:ln w="25400">
            <a:solidFill>
              <a:srgbClr val="00CCFF"/>
            </a:solidFill>
            <a:round/>
            <a:headEnd/>
            <a:tailEnd type="triangle" w="lg" len="lg"/>
          </a:ln>
        </xdr:spPr>
      </xdr:sp>
      <xdr:sp macro="" textlink="">
        <xdr:nvSpPr>
          <xdr:cNvPr id="4410" name="Line 13">
            <a:extLst>
              <a:ext uri="{FF2B5EF4-FFF2-40B4-BE49-F238E27FC236}">
                <a16:creationId xmlns:a16="http://schemas.microsoft.com/office/drawing/2014/main" id="{00000000-0008-0000-0500-00003A110000}"/>
              </a:ext>
            </a:extLst>
          </xdr:cNvPr>
          <xdr:cNvSpPr>
            <a:spLocks noChangeShapeType="1"/>
          </xdr:cNvSpPr>
        </xdr:nvSpPr>
        <xdr:spPr bwMode="auto">
          <a:xfrm>
            <a:off x="881" y="170"/>
            <a:ext cx="84" cy="0"/>
          </a:xfrm>
          <a:prstGeom prst="line">
            <a:avLst/>
          </a:prstGeom>
          <a:noFill/>
          <a:ln w="25400">
            <a:solidFill>
              <a:srgbClr val="00CCFF"/>
            </a:solidFill>
            <a:round/>
            <a:headEnd/>
            <a:tailEnd/>
          </a:ln>
        </xdr:spPr>
      </xdr:sp>
      <xdr:sp macro="" textlink="">
        <xdr:nvSpPr>
          <xdr:cNvPr id="4411" name="Line 14">
            <a:extLst>
              <a:ext uri="{FF2B5EF4-FFF2-40B4-BE49-F238E27FC236}">
                <a16:creationId xmlns:a16="http://schemas.microsoft.com/office/drawing/2014/main" id="{00000000-0008-0000-0500-00003B110000}"/>
              </a:ext>
            </a:extLst>
          </xdr:cNvPr>
          <xdr:cNvSpPr>
            <a:spLocks noChangeShapeType="1"/>
          </xdr:cNvSpPr>
        </xdr:nvSpPr>
        <xdr:spPr bwMode="auto">
          <a:xfrm>
            <a:off x="966" y="170"/>
            <a:ext cx="0" cy="173"/>
          </a:xfrm>
          <a:prstGeom prst="line">
            <a:avLst/>
          </a:prstGeom>
          <a:noFill/>
          <a:ln w="25400">
            <a:solidFill>
              <a:srgbClr val="00CCFF"/>
            </a:solidFill>
            <a:round/>
            <a:headEnd/>
            <a:tailEnd/>
          </a:ln>
        </xdr:spPr>
      </xdr:sp>
      <xdr:sp macro="" textlink="">
        <xdr:nvSpPr>
          <xdr:cNvPr id="4412" name="Line 15">
            <a:extLst>
              <a:ext uri="{FF2B5EF4-FFF2-40B4-BE49-F238E27FC236}">
                <a16:creationId xmlns:a16="http://schemas.microsoft.com/office/drawing/2014/main" id="{00000000-0008-0000-0500-00003C110000}"/>
              </a:ext>
            </a:extLst>
          </xdr:cNvPr>
          <xdr:cNvSpPr>
            <a:spLocks noChangeShapeType="1"/>
          </xdr:cNvSpPr>
        </xdr:nvSpPr>
        <xdr:spPr bwMode="auto">
          <a:xfrm>
            <a:off x="965" y="407"/>
            <a:ext cx="0" cy="19"/>
          </a:xfrm>
          <a:prstGeom prst="line">
            <a:avLst/>
          </a:prstGeom>
          <a:noFill/>
          <a:ln w="25400">
            <a:solidFill>
              <a:srgbClr val="00CCFF"/>
            </a:solidFill>
            <a:round/>
            <a:headEnd/>
            <a:tailEnd/>
          </a:ln>
        </xdr:spPr>
      </xdr:sp>
      <xdr:sp macro="" textlink="">
        <xdr:nvSpPr>
          <xdr:cNvPr id="4413" name="Line 16">
            <a:extLst>
              <a:ext uri="{FF2B5EF4-FFF2-40B4-BE49-F238E27FC236}">
                <a16:creationId xmlns:a16="http://schemas.microsoft.com/office/drawing/2014/main" id="{00000000-0008-0000-0500-00003D1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39" y="426"/>
            <a:ext cx="224" cy="0"/>
          </a:xfrm>
          <a:prstGeom prst="line">
            <a:avLst/>
          </a:prstGeom>
          <a:noFill/>
          <a:ln w="25400">
            <a:solidFill>
              <a:srgbClr val="00CCFF"/>
            </a:solidFill>
            <a:round/>
            <a:headEnd/>
            <a:tailEnd/>
          </a:ln>
        </xdr:spPr>
      </xdr:sp>
      <xdr:sp macro="" textlink="">
        <xdr:nvSpPr>
          <xdr:cNvPr id="4414" name="Line 17">
            <a:extLst>
              <a:ext uri="{FF2B5EF4-FFF2-40B4-BE49-F238E27FC236}">
                <a16:creationId xmlns:a16="http://schemas.microsoft.com/office/drawing/2014/main" id="{00000000-0008-0000-0500-00003E1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40" y="169"/>
            <a:ext cx="0" cy="255"/>
          </a:xfrm>
          <a:prstGeom prst="line">
            <a:avLst/>
          </a:prstGeom>
          <a:noFill/>
          <a:ln w="25400">
            <a:solidFill>
              <a:srgbClr val="00CCFF"/>
            </a:solidFill>
            <a:round/>
            <a:headEnd/>
            <a:tailEnd type="oval" w="med" len="med"/>
          </a:ln>
        </xdr:spPr>
      </xdr:sp>
      <xdr:sp macro="" textlink="">
        <xdr:nvSpPr>
          <xdr:cNvPr id="4415" name="Line 18">
            <a:extLst>
              <a:ext uri="{FF2B5EF4-FFF2-40B4-BE49-F238E27FC236}">
                <a16:creationId xmlns:a16="http://schemas.microsoft.com/office/drawing/2014/main" id="{00000000-0008-0000-0500-00003F110000}"/>
              </a:ext>
            </a:extLst>
          </xdr:cNvPr>
          <xdr:cNvSpPr>
            <a:spLocks noChangeShapeType="1"/>
          </xdr:cNvSpPr>
        </xdr:nvSpPr>
        <xdr:spPr bwMode="auto">
          <a:xfrm>
            <a:off x="743" y="169"/>
            <a:ext cx="30" cy="0"/>
          </a:xfrm>
          <a:prstGeom prst="line">
            <a:avLst/>
          </a:prstGeom>
          <a:noFill/>
          <a:ln w="25400">
            <a:solidFill>
              <a:srgbClr val="00CCFF"/>
            </a:solidFill>
            <a:round/>
            <a:headEnd/>
            <a:tailEnd/>
          </a:ln>
        </xdr:spPr>
      </xdr:sp>
      <xdr:sp macro="" textlink="">
        <xdr:nvSpPr>
          <xdr:cNvPr id="4416" name="Line 19">
            <a:extLst>
              <a:ext uri="{FF2B5EF4-FFF2-40B4-BE49-F238E27FC236}">
                <a16:creationId xmlns:a16="http://schemas.microsoft.com/office/drawing/2014/main" id="{00000000-0008-0000-0500-000040110000}"/>
              </a:ext>
            </a:extLst>
          </xdr:cNvPr>
          <xdr:cNvSpPr>
            <a:spLocks noChangeShapeType="1"/>
          </xdr:cNvSpPr>
        </xdr:nvSpPr>
        <xdr:spPr bwMode="auto">
          <a:xfrm>
            <a:off x="1007" y="374"/>
            <a:ext cx="78" cy="0"/>
          </a:xfrm>
          <a:prstGeom prst="line">
            <a:avLst/>
          </a:prstGeom>
          <a:noFill/>
          <a:ln w="25400">
            <a:solidFill>
              <a:srgbClr val="FF6600"/>
            </a:solidFill>
            <a:round/>
            <a:headEnd/>
            <a:tailEnd type="oval" w="med" len="med"/>
          </a:ln>
        </xdr:spPr>
      </xdr:sp>
      <xdr:sp macro="" textlink="">
        <xdr:nvSpPr>
          <xdr:cNvPr id="4417" name="Line 20">
            <a:extLst>
              <a:ext uri="{FF2B5EF4-FFF2-40B4-BE49-F238E27FC236}">
                <a16:creationId xmlns:a16="http://schemas.microsoft.com/office/drawing/2014/main" id="{00000000-0008-0000-0500-0000411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82" y="375"/>
            <a:ext cx="41" cy="0"/>
          </a:xfrm>
          <a:prstGeom prst="line">
            <a:avLst/>
          </a:prstGeom>
          <a:noFill/>
          <a:ln w="25400">
            <a:solidFill>
              <a:srgbClr val="FF6600"/>
            </a:solidFill>
            <a:round/>
            <a:headEnd/>
            <a:tailEnd/>
          </a:ln>
        </xdr:spPr>
      </xdr:sp>
      <xdr:sp macro="" textlink="">
        <xdr:nvSpPr>
          <xdr:cNvPr id="4418" name="Line 21">
            <a:extLst>
              <a:ext uri="{FF2B5EF4-FFF2-40B4-BE49-F238E27FC236}">
                <a16:creationId xmlns:a16="http://schemas.microsoft.com/office/drawing/2014/main" id="{00000000-0008-0000-0500-0000421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80" y="375"/>
            <a:ext cx="1" cy="85"/>
          </a:xfrm>
          <a:prstGeom prst="line">
            <a:avLst/>
          </a:prstGeom>
          <a:noFill/>
          <a:ln w="25400">
            <a:solidFill>
              <a:srgbClr val="FF6600"/>
            </a:solidFill>
            <a:round/>
            <a:headEnd/>
            <a:tailEnd type="triangle" w="lg" len="lg"/>
          </a:ln>
        </xdr:spPr>
      </xdr:sp>
    </xdr:grpSp>
    <xdr:clientData/>
  </xdr:twoCellAnchor>
  <xdr:twoCellAnchor>
    <xdr:from>
      <xdr:col>8</xdr:col>
      <xdr:colOff>647700</xdr:colOff>
      <xdr:row>28</xdr:row>
      <xdr:rowOff>28575</xdr:rowOff>
    </xdr:from>
    <xdr:to>
      <xdr:col>10</xdr:col>
      <xdr:colOff>114300</xdr:colOff>
      <xdr:row>31</xdr:row>
      <xdr:rowOff>152400</xdr:rowOff>
    </xdr:to>
    <xdr:sp macro="" textlink="">
      <xdr:nvSpPr>
        <xdr:cNvPr id="4124" name="Text Box 28">
          <a:extLst>
            <a:ext uri="{FF2B5EF4-FFF2-40B4-BE49-F238E27FC236}">
              <a16:creationId xmlns:a16="http://schemas.microsoft.com/office/drawing/2014/main" id="{00000000-0008-0000-0500-00001C100000}"/>
            </a:ext>
          </a:extLst>
        </xdr:cNvPr>
        <xdr:cNvSpPr txBox="1">
          <a:spLocks noChangeArrowheads="1"/>
        </xdr:cNvSpPr>
      </xdr:nvSpPr>
      <xdr:spPr bwMode="auto">
        <a:xfrm>
          <a:off x="8229600" y="4610100"/>
          <a:ext cx="99060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FF"/>
              </a:solidFill>
              <a:latin typeface="Arial"/>
              <a:cs typeface="Arial"/>
            </a:rPr>
            <a:t>HOT WATER</a:t>
          </a:r>
        </a:p>
      </xdr:txBody>
    </xdr:sp>
    <xdr:clientData/>
  </xdr:twoCellAnchor>
  <xdr:twoCellAnchor>
    <xdr:from>
      <xdr:col>8</xdr:col>
      <xdr:colOff>0</xdr:colOff>
      <xdr:row>30</xdr:row>
      <xdr:rowOff>9525</xdr:rowOff>
    </xdr:from>
    <xdr:to>
      <xdr:col>8</xdr:col>
      <xdr:colOff>647700</xdr:colOff>
      <xdr:row>30</xdr:row>
      <xdr:rowOff>9525</xdr:rowOff>
    </xdr:to>
    <xdr:sp macro="" textlink="">
      <xdr:nvSpPr>
        <xdr:cNvPr id="4393" name="Line 29">
          <a:extLst>
            <a:ext uri="{FF2B5EF4-FFF2-40B4-BE49-F238E27FC236}">
              <a16:creationId xmlns:a16="http://schemas.microsoft.com/office/drawing/2014/main" id="{00000000-0008-0000-0500-000029110000}"/>
            </a:ext>
          </a:extLst>
        </xdr:cNvPr>
        <xdr:cNvSpPr>
          <a:spLocks noChangeShapeType="1"/>
        </xdr:cNvSpPr>
      </xdr:nvSpPr>
      <xdr:spPr bwMode="auto">
        <a:xfrm>
          <a:off x="7581900" y="4914900"/>
          <a:ext cx="647700" cy="0"/>
        </a:xfrm>
        <a:prstGeom prst="line">
          <a:avLst/>
        </a:prstGeom>
        <a:noFill/>
        <a:ln w="25400">
          <a:solidFill>
            <a:srgbClr val="0000FF"/>
          </a:solidFill>
          <a:round/>
          <a:headEnd type="oval" w="med" len="med"/>
          <a:tailEnd/>
        </a:ln>
      </xdr:spPr>
    </xdr:sp>
    <xdr:clientData/>
  </xdr:twoCellAnchor>
  <xdr:twoCellAnchor>
    <xdr:from>
      <xdr:col>10</xdr:col>
      <xdr:colOff>123825</xdr:colOff>
      <xdr:row>30</xdr:row>
      <xdr:rowOff>9525</xdr:rowOff>
    </xdr:from>
    <xdr:to>
      <xdr:col>11</xdr:col>
      <xdr:colOff>38100</xdr:colOff>
      <xdr:row>30</xdr:row>
      <xdr:rowOff>9525</xdr:rowOff>
    </xdr:to>
    <xdr:sp macro="" textlink="">
      <xdr:nvSpPr>
        <xdr:cNvPr id="4394" name="Line 30">
          <a:extLst>
            <a:ext uri="{FF2B5EF4-FFF2-40B4-BE49-F238E27FC236}">
              <a16:creationId xmlns:a16="http://schemas.microsoft.com/office/drawing/2014/main" id="{00000000-0008-0000-0500-00002A110000}"/>
            </a:ext>
          </a:extLst>
        </xdr:cNvPr>
        <xdr:cNvSpPr>
          <a:spLocks noChangeShapeType="1"/>
        </xdr:cNvSpPr>
      </xdr:nvSpPr>
      <xdr:spPr bwMode="auto">
        <a:xfrm>
          <a:off x="9229725" y="4914900"/>
          <a:ext cx="676275" cy="0"/>
        </a:xfrm>
        <a:prstGeom prst="line">
          <a:avLst/>
        </a:prstGeom>
        <a:noFill/>
        <a:ln w="25400">
          <a:solidFill>
            <a:srgbClr val="0000FF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381000</xdr:colOff>
      <xdr:row>32</xdr:row>
      <xdr:rowOff>0</xdr:rowOff>
    </xdr:from>
    <xdr:to>
      <xdr:col>9</xdr:col>
      <xdr:colOff>381000</xdr:colOff>
      <xdr:row>38</xdr:row>
      <xdr:rowOff>142875</xdr:rowOff>
    </xdr:to>
    <xdr:sp macro="" textlink="">
      <xdr:nvSpPr>
        <xdr:cNvPr id="4395" name="Line 31">
          <a:extLst>
            <a:ext uri="{FF2B5EF4-FFF2-40B4-BE49-F238E27FC236}">
              <a16:creationId xmlns:a16="http://schemas.microsoft.com/office/drawing/2014/main" id="{00000000-0008-0000-0500-00002B110000}"/>
            </a:ext>
          </a:extLst>
        </xdr:cNvPr>
        <xdr:cNvSpPr>
          <a:spLocks noChangeShapeType="1"/>
        </xdr:cNvSpPr>
      </xdr:nvSpPr>
      <xdr:spPr bwMode="auto">
        <a:xfrm>
          <a:off x="8724900" y="5238750"/>
          <a:ext cx="0" cy="1123950"/>
        </a:xfrm>
        <a:prstGeom prst="line">
          <a:avLst/>
        </a:prstGeom>
        <a:noFill/>
        <a:ln w="25400">
          <a:solidFill>
            <a:srgbClr val="FF6600"/>
          </a:solidFill>
          <a:round/>
          <a:headEnd/>
          <a:tailEnd/>
        </a:ln>
      </xdr:spPr>
    </xdr:sp>
    <xdr:clientData/>
  </xdr:twoCellAnchor>
  <xdr:twoCellAnchor>
    <xdr:from>
      <xdr:col>21</xdr:col>
      <xdr:colOff>590550</xdr:colOff>
      <xdr:row>27</xdr:row>
      <xdr:rowOff>57150</xdr:rowOff>
    </xdr:from>
    <xdr:to>
      <xdr:col>30</xdr:col>
      <xdr:colOff>85725</xdr:colOff>
      <xdr:row>51</xdr:row>
      <xdr:rowOff>114300</xdr:rowOff>
    </xdr:to>
    <xdr:graphicFrame macro="">
      <xdr:nvGraphicFramePr>
        <xdr:cNvPr id="4396" name="Chart 32">
          <a:extLst>
            <a:ext uri="{FF2B5EF4-FFF2-40B4-BE49-F238E27FC236}">
              <a16:creationId xmlns:a16="http://schemas.microsoft.com/office/drawing/2014/main" id="{00000000-0008-0000-0500-00002C1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171450</xdr:colOff>
      <xdr:row>32</xdr:row>
      <xdr:rowOff>95250</xdr:rowOff>
    </xdr:from>
    <xdr:to>
      <xdr:col>10</xdr:col>
      <xdr:colOff>657225</xdr:colOff>
      <xdr:row>33</xdr:row>
      <xdr:rowOff>95250</xdr:rowOff>
    </xdr:to>
    <xdr:sp macro="" textlink="">
      <xdr:nvSpPr>
        <xdr:cNvPr id="4397" name="AutoShape 34">
          <a:extLst>
            <a:ext uri="{FF2B5EF4-FFF2-40B4-BE49-F238E27FC236}">
              <a16:creationId xmlns:a16="http://schemas.microsoft.com/office/drawing/2014/main" id="{00000000-0008-0000-0500-00002D110000}"/>
            </a:ext>
          </a:extLst>
        </xdr:cNvPr>
        <xdr:cNvSpPr>
          <a:spLocks noChangeArrowheads="1"/>
        </xdr:cNvSpPr>
      </xdr:nvSpPr>
      <xdr:spPr bwMode="auto">
        <a:xfrm rot="-2154855">
          <a:off x="9277350" y="5334000"/>
          <a:ext cx="485775" cy="161925"/>
        </a:xfrm>
        <a:prstGeom prst="wave">
          <a:avLst>
            <a:gd name="adj1" fmla="val 13005"/>
            <a:gd name="adj2" fmla="val 0"/>
          </a:avLst>
        </a:prstGeom>
        <a:solidFill>
          <a:srgbClr val="969696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85725</xdr:colOff>
      <xdr:row>33</xdr:row>
      <xdr:rowOff>95250</xdr:rowOff>
    </xdr:from>
    <xdr:to>
      <xdr:col>10</xdr:col>
      <xdr:colOff>438150</xdr:colOff>
      <xdr:row>39</xdr:row>
      <xdr:rowOff>19050</xdr:rowOff>
    </xdr:to>
    <xdr:sp macro="" textlink="">
      <xdr:nvSpPr>
        <xdr:cNvPr id="4398" name="AutoShape 33">
          <a:extLst>
            <a:ext uri="{FF2B5EF4-FFF2-40B4-BE49-F238E27FC236}">
              <a16:creationId xmlns:a16="http://schemas.microsoft.com/office/drawing/2014/main" id="{00000000-0008-0000-0500-00002E110000}"/>
            </a:ext>
          </a:extLst>
        </xdr:cNvPr>
        <xdr:cNvSpPr>
          <a:spLocks noChangeArrowheads="1"/>
        </xdr:cNvSpPr>
      </xdr:nvSpPr>
      <xdr:spPr bwMode="auto">
        <a:xfrm rot="10800000">
          <a:off x="9191625" y="5495925"/>
          <a:ext cx="352425" cy="904875"/>
        </a:xfrm>
        <a:custGeom>
          <a:avLst/>
          <a:gdLst>
            <a:gd name="T0" fmla="*/ 82091990 w 21600"/>
            <a:gd name="T1" fmla="*/ 794014455 h 21600"/>
            <a:gd name="T2" fmla="*/ 46909823 w 21600"/>
            <a:gd name="T3" fmla="*/ 1588027569 h 21600"/>
            <a:gd name="T4" fmla="*/ 11727399 w 21600"/>
            <a:gd name="T5" fmla="*/ 794014455 h 21600"/>
            <a:gd name="T6" fmla="*/ 46909823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4500 w 21600"/>
            <a:gd name="T13" fmla="*/ 4500 h 21600"/>
            <a:gd name="T14" fmla="*/ 17100 w 21600"/>
            <a:gd name="T15" fmla="*/ 171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371475</xdr:colOff>
      <xdr:row>39</xdr:row>
      <xdr:rowOff>0</xdr:rowOff>
    </xdr:from>
    <xdr:to>
      <xdr:col>9</xdr:col>
      <xdr:colOff>752475</xdr:colOff>
      <xdr:row>39</xdr:row>
      <xdr:rowOff>0</xdr:rowOff>
    </xdr:to>
    <xdr:sp macro="" textlink="">
      <xdr:nvSpPr>
        <xdr:cNvPr id="4399" name="Line 35">
          <a:extLst>
            <a:ext uri="{FF2B5EF4-FFF2-40B4-BE49-F238E27FC236}">
              <a16:creationId xmlns:a16="http://schemas.microsoft.com/office/drawing/2014/main" id="{00000000-0008-0000-0500-00002F110000}"/>
            </a:ext>
          </a:extLst>
        </xdr:cNvPr>
        <xdr:cNvSpPr>
          <a:spLocks noChangeShapeType="1"/>
        </xdr:cNvSpPr>
      </xdr:nvSpPr>
      <xdr:spPr bwMode="auto">
        <a:xfrm>
          <a:off x="8715375" y="6381750"/>
          <a:ext cx="381000" cy="0"/>
        </a:xfrm>
        <a:prstGeom prst="line">
          <a:avLst/>
        </a:prstGeom>
        <a:noFill/>
        <a:ln w="25400">
          <a:solidFill>
            <a:srgbClr val="FF6600"/>
          </a:solidFill>
          <a:round/>
          <a:headEnd/>
          <a:tailEnd type="oval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5</xdr:row>
          <xdr:rowOff>76200</xdr:rowOff>
        </xdr:from>
        <xdr:to>
          <xdr:col>2</xdr:col>
          <xdr:colOff>514350</xdr:colOff>
          <xdr:row>7</xdr:row>
          <xdr:rowOff>19050</xdr:rowOff>
        </xdr:to>
        <xdr:sp macro="" textlink="">
          <xdr:nvSpPr>
            <xdr:cNvPr id="4133" name="CommandButton1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0</xdr:row>
      <xdr:rowOff>76200</xdr:rowOff>
    </xdr:from>
    <xdr:to>
      <xdr:col>8</xdr:col>
      <xdr:colOff>314325</xdr:colOff>
      <xdr:row>5</xdr:row>
      <xdr:rowOff>38100</xdr:rowOff>
    </xdr:to>
    <xdr:pic>
      <xdr:nvPicPr>
        <xdr:cNvPr id="85295" name="Picture 1">
          <a:extLst>
            <a:ext uri="{FF2B5EF4-FFF2-40B4-BE49-F238E27FC236}">
              <a16:creationId xmlns:a16="http://schemas.microsoft.com/office/drawing/2014/main" id="{00000000-0008-0000-0600-00002F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91125" y="76200"/>
          <a:ext cx="1800225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21</xdr:col>
      <xdr:colOff>244287</xdr:colOff>
      <xdr:row>29</xdr:row>
      <xdr:rowOff>109258</xdr:rowOff>
    </xdr:from>
    <xdr:to>
      <xdr:col>34</xdr:col>
      <xdr:colOff>406212</xdr:colOff>
      <xdr:row>53</xdr:row>
      <xdr:rowOff>128308</xdr:rowOff>
    </xdr:to>
    <xdr:grpSp>
      <xdr:nvGrpSpPr>
        <xdr:cNvPr id="85297" name="Group 194">
          <a:extLst>
            <a:ext uri="{FF2B5EF4-FFF2-40B4-BE49-F238E27FC236}">
              <a16:creationId xmlns:a16="http://schemas.microsoft.com/office/drawing/2014/main" id="{00000000-0008-0000-0600-0000314D0100}"/>
            </a:ext>
          </a:extLst>
        </xdr:cNvPr>
        <xdr:cNvGrpSpPr>
          <a:grpSpLocks/>
        </xdr:cNvGrpSpPr>
      </xdr:nvGrpSpPr>
      <xdr:grpSpPr bwMode="auto">
        <a:xfrm>
          <a:off x="18240934" y="5577729"/>
          <a:ext cx="7535396" cy="4591050"/>
          <a:chOff x="1438" y="55"/>
          <a:chExt cx="577" cy="482"/>
        </a:xfrm>
      </xdr:grpSpPr>
      <xdr:sp macro="" textlink="">
        <xdr:nvSpPr>
          <xdr:cNvPr id="85372" name="Rectangle 130">
            <a:extLst>
              <a:ext uri="{FF2B5EF4-FFF2-40B4-BE49-F238E27FC236}">
                <a16:creationId xmlns:a16="http://schemas.microsoft.com/office/drawing/2014/main" id="{00000000-0008-0000-0600-00007C4D0100}"/>
              </a:ext>
            </a:extLst>
          </xdr:cNvPr>
          <xdr:cNvSpPr>
            <a:spLocks noChangeArrowheads="1"/>
          </xdr:cNvSpPr>
        </xdr:nvSpPr>
        <xdr:spPr bwMode="auto">
          <a:xfrm>
            <a:off x="1438" y="55"/>
            <a:ext cx="577" cy="482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5373" name="Line 131">
            <a:extLst>
              <a:ext uri="{FF2B5EF4-FFF2-40B4-BE49-F238E27FC236}">
                <a16:creationId xmlns:a16="http://schemas.microsoft.com/office/drawing/2014/main" id="{00000000-0008-0000-0600-00007D4D0100}"/>
              </a:ext>
            </a:extLst>
          </xdr:cNvPr>
          <xdr:cNvSpPr>
            <a:spLocks noChangeShapeType="1"/>
          </xdr:cNvSpPr>
        </xdr:nvSpPr>
        <xdr:spPr bwMode="auto">
          <a:xfrm>
            <a:off x="1589" y="196"/>
            <a:ext cx="0" cy="29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74" name="Line 132">
            <a:extLst>
              <a:ext uri="{FF2B5EF4-FFF2-40B4-BE49-F238E27FC236}">
                <a16:creationId xmlns:a16="http://schemas.microsoft.com/office/drawing/2014/main" id="{00000000-0008-0000-0600-00007E4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612" y="192"/>
            <a:ext cx="1" cy="30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75" name="Line 133">
            <a:extLst>
              <a:ext uri="{FF2B5EF4-FFF2-40B4-BE49-F238E27FC236}">
                <a16:creationId xmlns:a16="http://schemas.microsoft.com/office/drawing/2014/main" id="{00000000-0008-0000-0600-00007F4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636" y="197"/>
            <a:ext cx="1" cy="2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76" name="Line 134">
            <a:extLst>
              <a:ext uri="{FF2B5EF4-FFF2-40B4-BE49-F238E27FC236}">
                <a16:creationId xmlns:a16="http://schemas.microsoft.com/office/drawing/2014/main" id="{00000000-0008-0000-0600-0000804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659" y="196"/>
            <a:ext cx="1" cy="29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77" name="Line 135">
            <a:extLst>
              <a:ext uri="{FF2B5EF4-FFF2-40B4-BE49-F238E27FC236}">
                <a16:creationId xmlns:a16="http://schemas.microsoft.com/office/drawing/2014/main" id="{00000000-0008-0000-0600-0000814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681" y="196"/>
            <a:ext cx="0" cy="29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78" name="Rectangle 136" descr="Briques horizontales">
            <a:extLst>
              <a:ext uri="{FF2B5EF4-FFF2-40B4-BE49-F238E27FC236}">
                <a16:creationId xmlns:a16="http://schemas.microsoft.com/office/drawing/2014/main" id="{00000000-0008-0000-0600-0000824D0100}"/>
              </a:ext>
            </a:extLst>
          </xdr:cNvPr>
          <xdr:cNvSpPr>
            <a:spLocks noChangeArrowheads="1"/>
          </xdr:cNvSpPr>
        </xdr:nvSpPr>
        <xdr:spPr bwMode="auto">
          <a:xfrm>
            <a:off x="1715" y="208"/>
            <a:ext cx="4" cy="269"/>
          </a:xfrm>
          <a:prstGeom prst="rect">
            <a:avLst/>
          </a:prstGeom>
          <a:pattFill prst="horzBrick">
            <a:fgClr>
              <a:srgbClr val="000000"/>
            </a:fgClr>
            <a:bgClr>
              <a:srgbClr val="FFFFFF"/>
            </a:bgClr>
          </a:pattFill>
          <a:ln w="9525">
            <a:solidFill>
              <a:srgbClr val="FF6600"/>
            </a:solidFill>
            <a:miter lim="800000"/>
            <a:headEnd/>
            <a:tailEnd/>
          </a:ln>
        </xdr:spPr>
      </xdr:sp>
      <xdr:sp macro="" textlink="">
        <xdr:nvSpPr>
          <xdr:cNvPr id="85379" name="Rectangle 138" descr="Briques horizontales">
            <a:extLst>
              <a:ext uri="{FF2B5EF4-FFF2-40B4-BE49-F238E27FC236}">
                <a16:creationId xmlns:a16="http://schemas.microsoft.com/office/drawing/2014/main" id="{00000000-0008-0000-0600-0000834D01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1553" y="207"/>
            <a:ext cx="8" cy="273"/>
          </a:xfrm>
          <a:prstGeom prst="rect">
            <a:avLst/>
          </a:prstGeom>
          <a:pattFill prst="horzBrick">
            <a:fgClr>
              <a:srgbClr val="000000"/>
            </a:fgClr>
            <a:bgClr>
              <a:srgbClr val="FFFFFF"/>
            </a:bgClr>
          </a:pattFill>
          <a:ln w="9525">
            <a:solidFill>
              <a:srgbClr val="FF6600"/>
            </a:solidFill>
            <a:miter lim="800000"/>
            <a:headEnd/>
            <a:tailEnd/>
          </a:ln>
        </xdr:spPr>
      </xdr:sp>
      <xdr:sp macro="" textlink="">
        <xdr:nvSpPr>
          <xdr:cNvPr id="85380" name="Oval 140">
            <a:extLst>
              <a:ext uri="{FF2B5EF4-FFF2-40B4-BE49-F238E27FC236}">
                <a16:creationId xmlns:a16="http://schemas.microsoft.com/office/drawing/2014/main" id="{00000000-0008-0000-0600-0000844D0100}"/>
              </a:ext>
            </a:extLst>
          </xdr:cNvPr>
          <xdr:cNvSpPr>
            <a:spLocks noChangeArrowheads="1"/>
          </xdr:cNvSpPr>
        </xdr:nvSpPr>
        <xdr:spPr bwMode="auto">
          <a:xfrm>
            <a:off x="1567" y="480"/>
            <a:ext cx="22" cy="2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81" name="Line 146">
            <a:extLst>
              <a:ext uri="{FF2B5EF4-FFF2-40B4-BE49-F238E27FC236}">
                <a16:creationId xmlns:a16="http://schemas.microsoft.com/office/drawing/2014/main" id="{00000000-0008-0000-0600-0000854D0100}"/>
              </a:ext>
            </a:extLst>
          </xdr:cNvPr>
          <xdr:cNvSpPr>
            <a:spLocks noChangeShapeType="1"/>
          </xdr:cNvSpPr>
        </xdr:nvSpPr>
        <xdr:spPr bwMode="auto">
          <a:xfrm>
            <a:off x="1537" y="504"/>
            <a:ext cx="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82" name="Line 147">
            <a:extLst>
              <a:ext uri="{FF2B5EF4-FFF2-40B4-BE49-F238E27FC236}">
                <a16:creationId xmlns:a16="http://schemas.microsoft.com/office/drawing/2014/main" id="{00000000-0008-0000-0600-0000864D0100}"/>
              </a:ext>
            </a:extLst>
          </xdr:cNvPr>
          <xdr:cNvSpPr>
            <a:spLocks noChangeShapeType="1"/>
          </xdr:cNvSpPr>
        </xdr:nvSpPr>
        <xdr:spPr bwMode="auto">
          <a:xfrm>
            <a:off x="1690" y="184"/>
            <a:ext cx="5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83" name="Line 148">
            <a:extLst>
              <a:ext uri="{FF2B5EF4-FFF2-40B4-BE49-F238E27FC236}">
                <a16:creationId xmlns:a16="http://schemas.microsoft.com/office/drawing/2014/main" id="{00000000-0008-0000-0600-0000874D0100}"/>
              </a:ext>
            </a:extLst>
          </xdr:cNvPr>
          <xdr:cNvSpPr>
            <a:spLocks noChangeShapeType="1"/>
          </xdr:cNvSpPr>
        </xdr:nvSpPr>
        <xdr:spPr bwMode="auto">
          <a:xfrm>
            <a:off x="1750" y="197"/>
            <a:ext cx="0" cy="29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84" name="Line 149">
            <a:extLst>
              <a:ext uri="{FF2B5EF4-FFF2-40B4-BE49-F238E27FC236}">
                <a16:creationId xmlns:a16="http://schemas.microsoft.com/office/drawing/2014/main" id="{00000000-0008-0000-0600-0000884D0100}"/>
              </a:ext>
            </a:extLst>
          </xdr:cNvPr>
          <xdr:cNvSpPr>
            <a:spLocks noChangeShapeType="1"/>
          </xdr:cNvSpPr>
        </xdr:nvSpPr>
        <xdr:spPr bwMode="auto">
          <a:xfrm>
            <a:off x="1773" y="197"/>
            <a:ext cx="1" cy="2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85" name="Line 150">
            <a:extLst>
              <a:ext uri="{FF2B5EF4-FFF2-40B4-BE49-F238E27FC236}">
                <a16:creationId xmlns:a16="http://schemas.microsoft.com/office/drawing/2014/main" id="{00000000-0008-0000-0600-0000894D0100}"/>
              </a:ext>
            </a:extLst>
          </xdr:cNvPr>
          <xdr:cNvSpPr>
            <a:spLocks noChangeShapeType="1"/>
          </xdr:cNvSpPr>
        </xdr:nvSpPr>
        <xdr:spPr bwMode="auto">
          <a:xfrm>
            <a:off x="1796" y="194"/>
            <a:ext cx="1" cy="29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86" name="Rectangle 155" descr="Briques horizontales">
            <a:extLst>
              <a:ext uri="{FF2B5EF4-FFF2-40B4-BE49-F238E27FC236}">
                <a16:creationId xmlns:a16="http://schemas.microsoft.com/office/drawing/2014/main" id="{00000000-0008-0000-0600-00008A4D01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1825" y="207"/>
            <a:ext cx="7" cy="272"/>
          </a:xfrm>
          <a:prstGeom prst="rect">
            <a:avLst/>
          </a:prstGeom>
          <a:pattFill prst="horzBrick">
            <a:fgClr>
              <a:srgbClr val="000000"/>
            </a:fgClr>
            <a:bgClr>
              <a:srgbClr val="FFFFFF"/>
            </a:bgClr>
          </a:pattFill>
          <a:ln w="9525">
            <a:solidFill>
              <a:srgbClr val="FF6600"/>
            </a:solidFill>
            <a:miter lim="800000"/>
            <a:headEnd/>
            <a:tailEnd/>
          </a:ln>
        </xdr:spPr>
      </xdr:sp>
      <xdr:sp macro="" textlink="">
        <xdr:nvSpPr>
          <xdr:cNvPr id="85387" name="Line 157">
            <a:extLst>
              <a:ext uri="{FF2B5EF4-FFF2-40B4-BE49-F238E27FC236}">
                <a16:creationId xmlns:a16="http://schemas.microsoft.com/office/drawing/2014/main" id="{00000000-0008-0000-0600-00008B4D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08" y="343"/>
            <a:ext cx="366" cy="1"/>
          </a:xfrm>
          <a:prstGeom prst="line">
            <a:avLst/>
          </a:prstGeom>
          <a:noFill/>
          <a:ln w="31750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278" name="Text Box 158">
            <a:extLst>
              <a:ext uri="{FF2B5EF4-FFF2-40B4-BE49-F238E27FC236}">
                <a16:creationId xmlns:a16="http://schemas.microsoft.com/office/drawing/2014/main" id="{00000000-0008-0000-0600-00009E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76" y="325"/>
            <a:ext cx="113" cy="42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mid-height of the furnace</a:t>
            </a:r>
          </a:p>
        </xdr:txBody>
      </xdr:sp>
      <xdr:sp macro="" textlink="">
        <xdr:nvSpPr>
          <xdr:cNvPr id="85389" name="Line 163">
            <a:extLst>
              <a:ext uri="{FF2B5EF4-FFF2-40B4-BE49-F238E27FC236}">
                <a16:creationId xmlns:a16="http://schemas.microsoft.com/office/drawing/2014/main" id="{00000000-0008-0000-0600-00008D4D0100}"/>
              </a:ext>
            </a:extLst>
          </xdr:cNvPr>
          <xdr:cNvSpPr>
            <a:spLocks noChangeShapeType="1"/>
          </xdr:cNvSpPr>
        </xdr:nvSpPr>
        <xdr:spPr bwMode="auto">
          <a:xfrm>
            <a:off x="1539" y="350"/>
            <a:ext cx="1" cy="137"/>
          </a:xfrm>
          <a:prstGeom prst="line">
            <a:avLst/>
          </a:prstGeom>
          <a:noFill/>
          <a:ln w="25400">
            <a:solidFill>
              <a:srgbClr val="FF0000"/>
            </a:solidFill>
            <a:round/>
            <a:headEnd type="triangle" w="med" len="med"/>
            <a:tailEnd type="triangle" w="med" len="med"/>
          </a:ln>
        </xdr:spPr>
      </xdr:sp>
      <xdr:sp macro="" textlink="">
        <xdr:nvSpPr>
          <xdr:cNvPr id="5285" name="Text Box 165">
            <a:extLst>
              <a:ext uri="{FF2B5EF4-FFF2-40B4-BE49-F238E27FC236}">
                <a16:creationId xmlns:a16="http://schemas.microsoft.com/office/drawing/2014/main" id="{00000000-0008-0000-0600-0000A5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9" y="375"/>
            <a:ext cx="64" cy="3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Sections height</a:t>
            </a:r>
          </a:p>
        </xdr:txBody>
      </xdr:sp>
      <xdr:sp macro="" textlink="">
        <xdr:nvSpPr>
          <xdr:cNvPr id="5287" name="Text Box 167">
            <a:extLst>
              <a:ext uri="{FF2B5EF4-FFF2-40B4-BE49-F238E27FC236}">
                <a16:creationId xmlns:a16="http://schemas.microsoft.com/office/drawing/2014/main" id="{00000000-0008-0000-0600-0000A7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5" y="352"/>
            <a:ext cx="141" cy="125"/>
          </a:xfrm>
          <a:prstGeom prst="rect">
            <a:avLst/>
          </a:prstGeom>
          <a:solidFill>
            <a:srgbClr val="99CCFF">
              <a:alpha val="30000"/>
            </a:srgbClr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Z1</a:t>
            </a:r>
          </a:p>
        </xdr:txBody>
      </xdr:sp>
      <xdr:sp macro="" textlink="">
        <xdr:nvSpPr>
          <xdr:cNvPr id="5288" name="Text Box 168">
            <a:extLst>
              <a:ext uri="{FF2B5EF4-FFF2-40B4-BE49-F238E27FC236}">
                <a16:creationId xmlns:a16="http://schemas.microsoft.com/office/drawing/2014/main" id="{00000000-0008-0000-0600-0000A8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5" y="211"/>
            <a:ext cx="143" cy="125"/>
          </a:xfrm>
          <a:prstGeom prst="rect">
            <a:avLst/>
          </a:prstGeom>
          <a:solidFill>
            <a:srgbClr val="FF99CC">
              <a:alpha val="30000"/>
            </a:srgbClr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Z2</a:t>
            </a:r>
          </a:p>
        </xdr:txBody>
      </xdr:sp>
      <xdr:sp macro="" textlink="">
        <xdr:nvSpPr>
          <xdr:cNvPr id="5289" name="Text Box 169">
            <a:extLst>
              <a:ext uri="{FF2B5EF4-FFF2-40B4-BE49-F238E27FC236}">
                <a16:creationId xmlns:a16="http://schemas.microsoft.com/office/drawing/2014/main" id="{00000000-0008-0000-0600-0000A9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24" y="213"/>
            <a:ext cx="93" cy="124"/>
          </a:xfrm>
          <a:prstGeom prst="rect">
            <a:avLst/>
          </a:prstGeom>
          <a:solidFill>
            <a:srgbClr val="FFCC00">
              <a:alpha val="30000"/>
            </a:srgbClr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Z3</a:t>
            </a:r>
          </a:p>
        </xdr:txBody>
      </xdr:sp>
      <xdr:sp macro="" textlink="">
        <xdr:nvSpPr>
          <xdr:cNvPr id="5290" name="Text Box 170">
            <a:extLst>
              <a:ext uri="{FF2B5EF4-FFF2-40B4-BE49-F238E27FC236}">
                <a16:creationId xmlns:a16="http://schemas.microsoft.com/office/drawing/2014/main" id="{00000000-0008-0000-0600-0000AA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25" y="352"/>
            <a:ext cx="91" cy="125"/>
          </a:xfrm>
          <a:prstGeom prst="rect">
            <a:avLst/>
          </a:prstGeom>
          <a:solidFill>
            <a:srgbClr val="99CC00">
              <a:alpha val="30000"/>
            </a:srgbClr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Z4</a:t>
            </a:r>
          </a:p>
        </xdr:txBody>
      </xdr:sp>
      <xdr:sp macro="" textlink="">
        <xdr:nvSpPr>
          <xdr:cNvPr id="85395" name="Oval 172">
            <a:extLst>
              <a:ext uri="{FF2B5EF4-FFF2-40B4-BE49-F238E27FC236}">
                <a16:creationId xmlns:a16="http://schemas.microsoft.com/office/drawing/2014/main" id="{00000000-0008-0000-0600-0000934D0100}"/>
              </a:ext>
            </a:extLst>
          </xdr:cNvPr>
          <xdr:cNvSpPr>
            <a:spLocks noChangeArrowheads="1"/>
          </xdr:cNvSpPr>
        </xdr:nvSpPr>
        <xdr:spPr bwMode="auto">
          <a:xfrm>
            <a:off x="1590" y="184"/>
            <a:ext cx="22" cy="2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96" name="Oval 173">
            <a:extLst>
              <a:ext uri="{FF2B5EF4-FFF2-40B4-BE49-F238E27FC236}">
                <a16:creationId xmlns:a16="http://schemas.microsoft.com/office/drawing/2014/main" id="{00000000-0008-0000-0600-0000944D0100}"/>
              </a:ext>
            </a:extLst>
          </xdr:cNvPr>
          <xdr:cNvSpPr>
            <a:spLocks noChangeArrowheads="1"/>
          </xdr:cNvSpPr>
        </xdr:nvSpPr>
        <xdr:spPr bwMode="auto">
          <a:xfrm>
            <a:off x="1613" y="480"/>
            <a:ext cx="22" cy="2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97" name="Oval 174">
            <a:extLst>
              <a:ext uri="{FF2B5EF4-FFF2-40B4-BE49-F238E27FC236}">
                <a16:creationId xmlns:a16="http://schemas.microsoft.com/office/drawing/2014/main" id="{00000000-0008-0000-0600-0000954D0100}"/>
              </a:ext>
            </a:extLst>
          </xdr:cNvPr>
          <xdr:cNvSpPr>
            <a:spLocks noChangeArrowheads="1"/>
          </xdr:cNvSpPr>
        </xdr:nvSpPr>
        <xdr:spPr bwMode="auto">
          <a:xfrm>
            <a:off x="1637" y="185"/>
            <a:ext cx="22" cy="2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98" name="Oval 175">
            <a:extLst>
              <a:ext uri="{FF2B5EF4-FFF2-40B4-BE49-F238E27FC236}">
                <a16:creationId xmlns:a16="http://schemas.microsoft.com/office/drawing/2014/main" id="{00000000-0008-0000-0600-0000964D0100}"/>
              </a:ext>
            </a:extLst>
          </xdr:cNvPr>
          <xdr:cNvSpPr>
            <a:spLocks noChangeArrowheads="1"/>
          </xdr:cNvSpPr>
        </xdr:nvSpPr>
        <xdr:spPr bwMode="auto">
          <a:xfrm>
            <a:off x="1659" y="481"/>
            <a:ext cx="22" cy="2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399" name="Oval 176">
            <a:extLst>
              <a:ext uri="{FF2B5EF4-FFF2-40B4-BE49-F238E27FC236}">
                <a16:creationId xmlns:a16="http://schemas.microsoft.com/office/drawing/2014/main" id="{00000000-0008-0000-0600-0000974D0100}"/>
              </a:ext>
            </a:extLst>
          </xdr:cNvPr>
          <xdr:cNvSpPr>
            <a:spLocks noChangeArrowheads="1"/>
          </xdr:cNvSpPr>
        </xdr:nvSpPr>
        <xdr:spPr bwMode="auto">
          <a:xfrm>
            <a:off x="1682" y="185"/>
            <a:ext cx="22" cy="2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400" name="Oval 177">
            <a:extLst>
              <a:ext uri="{FF2B5EF4-FFF2-40B4-BE49-F238E27FC236}">
                <a16:creationId xmlns:a16="http://schemas.microsoft.com/office/drawing/2014/main" id="{00000000-0008-0000-0600-0000984D0100}"/>
              </a:ext>
            </a:extLst>
          </xdr:cNvPr>
          <xdr:cNvSpPr>
            <a:spLocks noChangeArrowheads="1"/>
          </xdr:cNvSpPr>
        </xdr:nvSpPr>
        <xdr:spPr bwMode="auto">
          <a:xfrm>
            <a:off x="1727" y="185"/>
            <a:ext cx="22" cy="2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401" name="Oval 178">
            <a:extLst>
              <a:ext uri="{FF2B5EF4-FFF2-40B4-BE49-F238E27FC236}">
                <a16:creationId xmlns:a16="http://schemas.microsoft.com/office/drawing/2014/main" id="{00000000-0008-0000-0600-0000994D0100}"/>
              </a:ext>
            </a:extLst>
          </xdr:cNvPr>
          <xdr:cNvSpPr>
            <a:spLocks noChangeArrowheads="1"/>
          </xdr:cNvSpPr>
        </xdr:nvSpPr>
        <xdr:spPr bwMode="auto">
          <a:xfrm>
            <a:off x="1751" y="480"/>
            <a:ext cx="22" cy="2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402" name="Oval 179">
            <a:extLst>
              <a:ext uri="{FF2B5EF4-FFF2-40B4-BE49-F238E27FC236}">
                <a16:creationId xmlns:a16="http://schemas.microsoft.com/office/drawing/2014/main" id="{00000000-0008-0000-0600-00009A4D0100}"/>
              </a:ext>
            </a:extLst>
          </xdr:cNvPr>
          <xdr:cNvSpPr>
            <a:spLocks noChangeArrowheads="1"/>
          </xdr:cNvSpPr>
        </xdr:nvSpPr>
        <xdr:spPr bwMode="auto">
          <a:xfrm>
            <a:off x="1773" y="185"/>
            <a:ext cx="22" cy="2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403" name="Oval 180">
            <a:extLst>
              <a:ext uri="{FF2B5EF4-FFF2-40B4-BE49-F238E27FC236}">
                <a16:creationId xmlns:a16="http://schemas.microsoft.com/office/drawing/2014/main" id="{00000000-0008-0000-0600-00009B4D0100}"/>
              </a:ext>
            </a:extLst>
          </xdr:cNvPr>
          <xdr:cNvSpPr>
            <a:spLocks noChangeArrowheads="1"/>
          </xdr:cNvSpPr>
        </xdr:nvSpPr>
        <xdr:spPr bwMode="auto">
          <a:xfrm>
            <a:off x="1797" y="479"/>
            <a:ext cx="22" cy="24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301" name="Text Box 181">
            <a:extLst>
              <a:ext uri="{FF2B5EF4-FFF2-40B4-BE49-F238E27FC236}">
                <a16:creationId xmlns:a16="http://schemas.microsoft.com/office/drawing/2014/main" id="{00000000-0008-0000-0600-0000B5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6" y="424"/>
            <a:ext cx="26" cy="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Z1R1</a:t>
            </a:r>
          </a:p>
        </xdr:txBody>
      </xdr:sp>
      <xdr:sp macro="" textlink="">
        <xdr:nvSpPr>
          <xdr:cNvPr id="5302" name="Text Box 182">
            <a:extLst>
              <a:ext uri="{FF2B5EF4-FFF2-40B4-BE49-F238E27FC236}">
                <a16:creationId xmlns:a16="http://schemas.microsoft.com/office/drawing/2014/main" id="{00000000-0008-0000-0600-0000B6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6" y="213"/>
            <a:ext cx="26" cy="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Z2R1</a:t>
            </a:r>
          </a:p>
        </xdr:txBody>
      </xdr:sp>
      <xdr:sp macro="" textlink="">
        <xdr:nvSpPr>
          <xdr:cNvPr id="5303" name="Text Box 183">
            <a:extLst>
              <a:ext uri="{FF2B5EF4-FFF2-40B4-BE49-F238E27FC236}">
                <a16:creationId xmlns:a16="http://schemas.microsoft.com/office/drawing/2014/main" id="{00000000-0008-0000-0600-0000B7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84" y="423"/>
            <a:ext cx="26" cy="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Z1R6</a:t>
            </a:r>
          </a:p>
        </xdr:txBody>
      </xdr:sp>
      <xdr:sp macro="" textlink="">
        <xdr:nvSpPr>
          <xdr:cNvPr id="5304" name="Text Box 184">
            <a:extLst>
              <a:ext uri="{FF2B5EF4-FFF2-40B4-BE49-F238E27FC236}">
                <a16:creationId xmlns:a16="http://schemas.microsoft.com/office/drawing/2014/main" id="{00000000-0008-0000-0600-0000B8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84" y="214"/>
            <a:ext cx="26" cy="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Z2R6</a:t>
            </a:r>
          </a:p>
        </xdr:txBody>
      </xdr:sp>
      <xdr:sp macro="" textlink="">
        <xdr:nvSpPr>
          <xdr:cNvPr id="5305" name="Text Box 185">
            <a:extLst>
              <a:ext uri="{FF2B5EF4-FFF2-40B4-BE49-F238E27FC236}">
                <a16:creationId xmlns:a16="http://schemas.microsoft.com/office/drawing/2014/main" id="{00000000-0008-0000-0600-0000B9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22" y="212"/>
            <a:ext cx="26" cy="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Z3R1</a:t>
            </a:r>
          </a:p>
        </xdr:txBody>
      </xdr:sp>
      <xdr:sp macro="" textlink="">
        <xdr:nvSpPr>
          <xdr:cNvPr id="5306" name="Text Box 186">
            <a:extLst>
              <a:ext uri="{FF2B5EF4-FFF2-40B4-BE49-F238E27FC236}">
                <a16:creationId xmlns:a16="http://schemas.microsoft.com/office/drawing/2014/main" id="{00000000-0008-0000-0600-0000BA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23" y="422"/>
            <a:ext cx="26" cy="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Z4R1</a:t>
            </a:r>
          </a:p>
        </xdr:txBody>
      </xdr:sp>
      <xdr:sp macro="" textlink="">
        <xdr:nvSpPr>
          <xdr:cNvPr id="85410" name="Line 187">
            <a:extLst>
              <a:ext uri="{FF2B5EF4-FFF2-40B4-BE49-F238E27FC236}">
                <a16:creationId xmlns:a16="http://schemas.microsoft.com/office/drawing/2014/main" id="{00000000-0008-0000-0600-0000A24D0100}"/>
              </a:ext>
            </a:extLst>
          </xdr:cNvPr>
          <xdr:cNvSpPr>
            <a:spLocks noChangeShapeType="1"/>
          </xdr:cNvSpPr>
        </xdr:nvSpPr>
        <xdr:spPr bwMode="auto">
          <a:xfrm>
            <a:off x="1587" y="234"/>
            <a:ext cx="98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5411" name="Line 188">
            <a:extLst>
              <a:ext uri="{FF2B5EF4-FFF2-40B4-BE49-F238E27FC236}">
                <a16:creationId xmlns:a16="http://schemas.microsoft.com/office/drawing/2014/main" id="{00000000-0008-0000-0600-0000A34D0100}"/>
              </a:ext>
            </a:extLst>
          </xdr:cNvPr>
          <xdr:cNvSpPr>
            <a:spLocks noChangeShapeType="1"/>
          </xdr:cNvSpPr>
        </xdr:nvSpPr>
        <xdr:spPr bwMode="auto">
          <a:xfrm>
            <a:off x="1582" y="448"/>
            <a:ext cx="105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309" name="Text Box 189">
            <a:extLst>
              <a:ext uri="{FF2B5EF4-FFF2-40B4-BE49-F238E27FC236}">
                <a16:creationId xmlns:a16="http://schemas.microsoft.com/office/drawing/2014/main" id="{00000000-0008-0000-0600-0000BD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98" y="213"/>
            <a:ext cx="26" cy="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Z4R4</a:t>
            </a:r>
          </a:p>
        </xdr:txBody>
      </xdr:sp>
      <xdr:sp macro="" textlink="">
        <xdr:nvSpPr>
          <xdr:cNvPr id="5310" name="Text Box 190">
            <a:extLst>
              <a:ext uri="{FF2B5EF4-FFF2-40B4-BE49-F238E27FC236}">
                <a16:creationId xmlns:a16="http://schemas.microsoft.com/office/drawing/2014/main" id="{00000000-0008-0000-0600-0000BE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00" y="425"/>
            <a:ext cx="26" cy="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Z3R4</a:t>
            </a:r>
          </a:p>
        </xdr:txBody>
      </xdr:sp>
      <xdr:sp macro="" textlink="">
        <xdr:nvSpPr>
          <xdr:cNvPr id="5313" name="Text Box 193">
            <a:extLst>
              <a:ext uri="{FF2B5EF4-FFF2-40B4-BE49-F238E27FC236}">
                <a16:creationId xmlns:a16="http://schemas.microsoft.com/office/drawing/2014/main" id="{00000000-0008-0000-0600-0000C1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5" y="71"/>
            <a:ext cx="528" cy="7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en-US" sz="1200" b="0" i="0" strike="noStrike">
                <a:solidFill>
                  <a:srgbClr val="000000"/>
                </a:solidFill>
                <a:latin typeface="Arial"/>
                <a:cs typeface="Arial"/>
              </a:rPr>
              <a:t>For example, how to describe a vertical furnace with 6 columns for the heating zone and 4 columns in the soaking zone, and the heating and the soaking are separated by a wall.</a:t>
            </a:r>
          </a:p>
          <a:p>
            <a:pPr algn="l" rtl="0">
              <a:defRPr sz="1000"/>
            </a:pPr>
            <a:endParaRPr lang="en-US" sz="1200" b="0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17</xdr:col>
      <xdr:colOff>192741</xdr:colOff>
      <xdr:row>30</xdr:row>
      <xdr:rowOff>9525</xdr:rowOff>
    </xdr:from>
    <xdr:to>
      <xdr:col>20</xdr:col>
      <xdr:colOff>658905</xdr:colOff>
      <xdr:row>69</xdr:row>
      <xdr:rowOff>85725</xdr:rowOff>
    </xdr:to>
    <xdr:grpSp>
      <xdr:nvGrpSpPr>
        <xdr:cNvPr id="85298" name="Group 224">
          <a:extLst>
            <a:ext uri="{FF2B5EF4-FFF2-40B4-BE49-F238E27FC236}">
              <a16:creationId xmlns:a16="http://schemas.microsoft.com/office/drawing/2014/main" id="{00000000-0008-0000-0600-0000324D0100}"/>
            </a:ext>
          </a:extLst>
        </xdr:cNvPr>
        <xdr:cNvGrpSpPr>
          <a:grpSpLocks/>
        </xdr:cNvGrpSpPr>
      </xdr:nvGrpSpPr>
      <xdr:grpSpPr bwMode="auto">
        <a:xfrm>
          <a:off x="14872447" y="5668496"/>
          <a:ext cx="3021105" cy="7505700"/>
          <a:chOff x="1401" y="558"/>
          <a:chExt cx="290" cy="788"/>
        </a:xfrm>
      </xdr:grpSpPr>
      <xdr:sp macro="" textlink="">
        <xdr:nvSpPr>
          <xdr:cNvPr id="85300" name="Rectangle 14">
            <a:extLst>
              <a:ext uri="{FF2B5EF4-FFF2-40B4-BE49-F238E27FC236}">
                <a16:creationId xmlns:a16="http://schemas.microsoft.com/office/drawing/2014/main" id="{00000000-0008-0000-0600-0000344D0100}"/>
              </a:ext>
            </a:extLst>
          </xdr:cNvPr>
          <xdr:cNvSpPr>
            <a:spLocks noChangeArrowheads="1"/>
          </xdr:cNvSpPr>
        </xdr:nvSpPr>
        <xdr:spPr bwMode="auto">
          <a:xfrm>
            <a:off x="1401" y="558"/>
            <a:ext cx="290" cy="78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5" name="Text Box 15">
            <a:extLst>
              <a:ext uri="{FF2B5EF4-FFF2-40B4-BE49-F238E27FC236}">
                <a16:creationId xmlns:a16="http://schemas.microsoft.com/office/drawing/2014/main" id="{00000000-0008-0000-0600-00000F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6" y="578"/>
            <a:ext cx="71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Arial"/>
                <a:cs typeface="Arial"/>
              </a:rPr>
              <a:t>Tube I :</a:t>
            </a:r>
          </a:p>
        </xdr:txBody>
      </xdr:sp>
      <xdr:sp macro="" textlink="">
        <xdr:nvSpPr>
          <xdr:cNvPr id="5138" name="Text Box 18">
            <a:extLst>
              <a:ext uri="{FF2B5EF4-FFF2-40B4-BE49-F238E27FC236}">
                <a16:creationId xmlns:a16="http://schemas.microsoft.com/office/drawing/2014/main" id="{00000000-0008-0000-0600-000012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32" y="591"/>
            <a:ext cx="24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A</a:t>
            </a:r>
          </a:p>
        </xdr:txBody>
      </xdr:sp>
      <xdr:sp macro="" textlink="">
        <xdr:nvSpPr>
          <xdr:cNvPr id="5141" name="Text Box 21">
            <a:extLst>
              <a:ext uri="{FF2B5EF4-FFF2-40B4-BE49-F238E27FC236}">
                <a16:creationId xmlns:a16="http://schemas.microsoft.com/office/drawing/2014/main" id="{00000000-0008-0000-0600-000015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7" y="664"/>
            <a:ext cx="92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Arial"/>
                <a:cs typeface="Arial"/>
              </a:rPr>
              <a:t>Tube U = P :</a:t>
            </a:r>
          </a:p>
        </xdr:txBody>
      </xdr:sp>
      <xdr:sp macro="" textlink="">
        <xdr:nvSpPr>
          <xdr:cNvPr id="5167" name="Text Box 47">
            <a:extLst>
              <a:ext uri="{FF2B5EF4-FFF2-40B4-BE49-F238E27FC236}">
                <a16:creationId xmlns:a16="http://schemas.microsoft.com/office/drawing/2014/main" id="{00000000-0008-0000-0600-00002F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2" y="886"/>
            <a:ext cx="71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Arial"/>
                <a:cs typeface="Arial"/>
              </a:rPr>
              <a:t>Tube W :</a:t>
            </a:r>
          </a:p>
        </xdr:txBody>
      </xdr:sp>
      <xdr:grpSp>
        <xdr:nvGrpSpPr>
          <xdr:cNvPr id="85305" name="Group 211">
            <a:extLst>
              <a:ext uri="{FF2B5EF4-FFF2-40B4-BE49-F238E27FC236}">
                <a16:creationId xmlns:a16="http://schemas.microsoft.com/office/drawing/2014/main" id="{00000000-0008-0000-0600-0000394D0100}"/>
              </a:ext>
            </a:extLst>
          </xdr:cNvPr>
          <xdr:cNvGrpSpPr>
            <a:grpSpLocks/>
          </xdr:cNvGrpSpPr>
        </xdr:nvGrpSpPr>
        <xdr:grpSpPr bwMode="auto">
          <a:xfrm>
            <a:off x="1451" y="610"/>
            <a:ext cx="194" cy="26"/>
            <a:chOff x="1451" y="610"/>
            <a:chExt cx="194" cy="26"/>
          </a:xfrm>
        </xdr:grpSpPr>
        <xdr:sp macro="" textlink="">
          <xdr:nvSpPr>
            <xdr:cNvPr id="85367" name="Rectangle 16">
              <a:extLst>
                <a:ext uri="{FF2B5EF4-FFF2-40B4-BE49-F238E27FC236}">
                  <a16:creationId xmlns:a16="http://schemas.microsoft.com/office/drawing/2014/main" id="{00000000-0008-0000-0600-000077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74" y="620"/>
              <a:ext cx="158" cy="14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68" name="Line 17">
              <a:extLst>
                <a:ext uri="{FF2B5EF4-FFF2-40B4-BE49-F238E27FC236}">
                  <a16:creationId xmlns:a16="http://schemas.microsoft.com/office/drawing/2014/main" id="{00000000-0008-0000-0600-000078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76" y="612"/>
              <a:ext cx="15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med"/>
              <a:tailEnd type="triangle" w="sm" len="med"/>
            </a:ln>
          </xdr:spPr>
        </xdr:sp>
        <xdr:sp macro="" textlink="">
          <xdr:nvSpPr>
            <xdr:cNvPr id="85369" name="Line 19">
              <a:extLst>
                <a:ext uri="{FF2B5EF4-FFF2-40B4-BE49-F238E27FC236}">
                  <a16:creationId xmlns:a16="http://schemas.microsoft.com/office/drawing/2014/main" id="{00000000-0008-0000-0600-000079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69" y="620"/>
              <a:ext cx="0" cy="1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med"/>
              <a:tailEnd type="arrow" w="sm" len="med"/>
            </a:ln>
          </xdr:spPr>
        </xdr:sp>
        <xdr:sp macro="" textlink="">
          <xdr:nvSpPr>
            <xdr:cNvPr id="5140" name="Text Box 20">
              <a:extLst>
                <a:ext uri="{FF2B5EF4-FFF2-40B4-BE49-F238E27FC236}">
                  <a16:creationId xmlns:a16="http://schemas.microsoft.com/office/drawing/2014/main" id="{00000000-0008-0000-0600-000014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451" y="610"/>
              <a:ext cx="24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</a:p>
          </xdr:txBody>
        </xdr:sp>
        <xdr:sp macro="" textlink="">
          <xdr:nvSpPr>
            <xdr:cNvPr id="85371" name="Line 48">
              <a:extLst>
                <a:ext uri="{FF2B5EF4-FFF2-40B4-BE49-F238E27FC236}">
                  <a16:creationId xmlns:a16="http://schemas.microsoft.com/office/drawing/2014/main" id="{00000000-0008-0000-0600-00007B4D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456" y="628"/>
              <a:ext cx="189" cy="0"/>
            </a:xfrm>
            <a:prstGeom prst="line">
              <a:avLst/>
            </a:prstGeom>
            <a:noFill/>
            <a:ln w="19050">
              <a:solidFill>
                <a:srgbClr val="0000FF"/>
              </a:solidFill>
              <a:prstDash val="lgDashDot"/>
              <a:round/>
              <a:headEnd/>
              <a:tailEnd/>
            </a:ln>
          </xdr:spPr>
        </xdr:sp>
      </xdr:grpSp>
      <xdr:grpSp>
        <xdr:nvGrpSpPr>
          <xdr:cNvPr id="85306" name="Group 210">
            <a:extLst>
              <a:ext uri="{FF2B5EF4-FFF2-40B4-BE49-F238E27FC236}">
                <a16:creationId xmlns:a16="http://schemas.microsoft.com/office/drawing/2014/main" id="{00000000-0008-0000-0600-00003A4D0100}"/>
              </a:ext>
            </a:extLst>
          </xdr:cNvPr>
          <xdr:cNvGrpSpPr>
            <a:grpSpLocks/>
          </xdr:cNvGrpSpPr>
        </xdr:nvGrpSpPr>
        <xdr:grpSpPr bwMode="auto">
          <a:xfrm>
            <a:off x="1447" y="679"/>
            <a:ext cx="186" cy="77"/>
            <a:chOff x="1447" y="679"/>
            <a:chExt cx="186" cy="77"/>
          </a:xfrm>
        </xdr:grpSpPr>
        <xdr:sp macro="" textlink="">
          <xdr:nvSpPr>
            <xdr:cNvPr id="85357" name="Rectangle 22">
              <a:extLst>
                <a:ext uri="{FF2B5EF4-FFF2-40B4-BE49-F238E27FC236}">
                  <a16:creationId xmlns:a16="http://schemas.microsoft.com/office/drawing/2014/main" id="{00000000-0008-0000-0600-00006D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74" y="706"/>
              <a:ext cx="121" cy="13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58" name="AutoShape 23">
              <a:extLst>
                <a:ext uri="{FF2B5EF4-FFF2-40B4-BE49-F238E27FC236}">
                  <a16:creationId xmlns:a16="http://schemas.microsoft.com/office/drawing/2014/main" id="{00000000-0008-0000-0600-00006E4D01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1570" y="707"/>
              <a:ext cx="49" cy="49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21600"/>
                <a:gd name="T13" fmla="*/ 0 h 21600"/>
                <a:gd name="T14" fmla="*/ 21600 w 21600"/>
                <a:gd name="T15" fmla="*/ 7494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5400" y="10800"/>
                  </a:moveTo>
                  <a:cubicBezTo>
                    <a:pt x="5400" y="7817"/>
                    <a:pt x="7817" y="5400"/>
                    <a:pt x="10800" y="5400"/>
                  </a:cubicBezTo>
                  <a:cubicBezTo>
                    <a:pt x="13782" y="5399"/>
                    <a:pt x="16199" y="7817"/>
                    <a:pt x="16200" y="10799"/>
                  </a:cubicBezTo>
                  <a:lnTo>
                    <a:pt x="21600" y="10800"/>
                  </a:lnTo>
                  <a:cubicBezTo>
                    <a:pt x="21600" y="4835"/>
                    <a:pt x="16764" y="0"/>
                    <a:pt x="10800" y="0"/>
                  </a:cubicBezTo>
                  <a:cubicBezTo>
                    <a:pt x="4835" y="0"/>
                    <a:pt x="0" y="4835"/>
                    <a:pt x="0" y="10800"/>
                  </a:cubicBezTo>
                  <a:close/>
                </a:path>
              </a:pathLst>
            </a:cu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59" name="Rectangle 24">
              <a:extLst>
                <a:ext uri="{FF2B5EF4-FFF2-40B4-BE49-F238E27FC236}">
                  <a16:creationId xmlns:a16="http://schemas.microsoft.com/office/drawing/2014/main" id="{00000000-0008-0000-0600-00006F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73" y="743"/>
              <a:ext cx="121" cy="13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60" name="Line 25">
              <a:extLst>
                <a:ext uri="{FF2B5EF4-FFF2-40B4-BE49-F238E27FC236}">
                  <a16:creationId xmlns:a16="http://schemas.microsoft.com/office/drawing/2014/main" id="{00000000-0008-0000-0600-000070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75" y="698"/>
              <a:ext cx="1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med"/>
              <a:tailEnd type="triangle" w="sm" len="med"/>
            </a:ln>
          </xdr:spPr>
        </xdr:sp>
        <xdr:sp macro="" textlink="">
          <xdr:nvSpPr>
            <xdr:cNvPr id="5146" name="Text Box 26">
              <a:extLst>
                <a:ext uri="{FF2B5EF4-FFF2-40B4-BE49-F238E27FC236}">
                  <a16:creationId xmlns:a16="http://schemas.microsoft.com/office/drawing/2014/main" id="{00000000-0008-0000-0600-00001A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24" y="679"/>
              <a:ext cx="24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5147" name="Text Box 27">
              <a:extLs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447" y="703"/>
              <a:ext cx="24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</a:p>
          </xdr:txBody>
        </xdr:sp>
        <xdr:sp macro="" textlink="">
          <xdr:nvSpPr>
            <xdr:cNvPr id="85363" name="Line 28">
              <a:extLst>
                <a:ext uri="{FF2B5EF4-FFF2-40B4-BE49-F238E27FC236}">
                  <a16:creationId xmlns:a16="http://schemas.microsoft.com/office/drawing/2014/main" id="{00000000-0008-0000-0600-000073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68" y="704"/>
              <a:ext cx="0" cy="1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med"/>
              <a:tailEnd type="arrow" w="sm" len="med"/>
            </a:ln>
          </xdr:spPr>
        </xdr:sp>
        <xdr:sp macro="" textlink="">
          <xdr:nvSpPr>
            <xdr:cNvPr id="85364" name="Line 29">
              <a:extLst>
                <a:ext uri="{FF2B5EF4-FFF2-40B4-BE49-F238E27FC236}">
                  <a16:creationId xmlns:a16="http://schemas.microsoft.com/office/drawing/2014/main" id="{00000000-0008-0000-0600-000074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593" y="711"/>
              <a:ext cx="0" cy="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med"/>
              <a:tailEnd type="arrow" w="sm" len="med"/>
            </a:ln>
          </xdr:spPr>
        </xdr:sp>
        <xdr:sp macro="" textlink="">
          <xdr:nvSpPr>
            <xdr:cNvPr id="5150" name="Text Box 30">
              <a:extLst>
                <a:ext uri="{FF2B5EF4-FFF2-40B4-BE49-F238E27FC236}">
                  <a16:creationId xmlns:a16="http://schemas.microsoft.com/office/drawing/2014/main" id="{00000000-0008-0000-0600-00001E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74" y="716"/>
              <a:ext cx="24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</a:p>
          </xdr:txBody>
        </xdr:sp>
        <xdr:sp macro="" textlink="">
          <xdr:nvSpPr>
            <xdr:cNvPr id="85366" name="Line 49">
              <a:extLst>
                <a:ext uri="{FF2B5EF4-FFF2-40B4-BE49-F238E27FC236}">
                  <a16:creationId xmlns:a16="http://schemas.microsoft.com/office/drawing/2014/main" id="{00000000-0008-0000-0600-0000764D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452" y="731"/>
              <a:ext cx="181" cy="0"/>
            </a:xfrm>
            <a:prstGeom prst="line">
              <a:avLst/>
            </a:prstGeom>
            <a:noFill/>
            <a:ln w="19050">
              <a:solidFill>
                <a:srgbClr val="0000FF"/>
              </a:solidFill>
              <a:prstDash val="lgDashDot"/>
              <a:round/>
              <a:headEnd/>
              <a:tailEnd/>
            </a:ln>
          </xdr:spPr>
        </xdr:sp>
      </xdr:grpSp>
      <xdr:grpSp>
        <xdr:nvGrpSpPr>
          <xdr:cNvPr id="85307" name="Group 209">
            <a:extLst>
              <a:ext uri="{FF2B5EF4-FFF2-40B4-BE49-F238E27FC236}">
                <a16:creationId xmlns:a16="http://schemas.microsoft.com/office/drawing/2014/main" id="{00000000-0008-0000-0600-00003B4D0100}"/>
              </a:ext>
            </a:extLst>
          </xdr:cNvPr>
          <xdr:cNvGrpSpPr>
            <a:grpSpLocks/>
          </xdr:cNvGrpSpPr>
        </xdr:nvGrpSpPr>
        <xdr:grpSpPr bwMode="auto">
          <a:xfrm>
            <a:off x="1458" y="899"/>
            <a:ext cx="191" cy="153"/>
            <a:chOff x="1451" y="786"/>
            <a:chExt cx="191" cy="153"/>
          </a:xfrm>
        </xdr:grpSpPr>
        <xdr:sp macro="" textlink="">
          <xdr:nvSpPr>
            <xdr:cNvPr id="85340" name="Rectangle 31">
              <a:extLst>
                <a:ext uri="{FF2B5EF4-FFF2-40B4-BE49-F238E27FC236}">
                  <a16:creationId xmlns:a16="http://schemas.microsoft.com/office/drawing/2014/main" id="{00000000-0008-0000-0600-00005C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77" y="815"/>
              <a:ext cx="121" cy="13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41" name="AutoShape 32">
              <a:extLst>
                <a:ext uri="{FF2B5EF4-FFF2-40B4-BE49-F238E27FC236}">
                  <a16:creationId xmlns:a16="http://schemas.microsoft.com/office/drawing/2014/main" id="{00000000-0008-0000-0600-00005D4D01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1574" y="816"/>
              <a:ext cx="49" cy="49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21600"/>
                <a:gd name="T13" fmla="*/ 0 h 21600"/>
                <a:gd name="T14" fmla="*/ 21600 w 21600"/>
                <a:gd name="T15" fmla="*/ 7494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5400" y="10800"/>
                  </a:moveTo>
                  <a:cubicBezTo>
                    <a:pt x="5400" y="7817"/>
                    <a:pt x="7817" y="5400"/>
                    <a:pt x="10800" y="5400"/>
                  </a:cubicBezTo>
                  <a:cubicBezTo>
                    <a:pt x="13782" y="5399"/>
                    <a:pt x="16199" y="7817"/>
                    <a:pt x="16200" y="10799"/>
                  </a:cubicBezTo>
                  <a:lnTo>
                    <a:pt x="21600" y="10800"/>
                  </a:lnTo>
                  <a:cubicBezTo>
                    <a:pt x="21600" y="4835"/>
                    <a:pt x="16764" y="0"/>
                    <a:pt x="10800" y="0"/>
                  </a:cubicBezTo>
                  <a:cubicBezTo>
                    <a:pt x="4835" y="0"/>
                    <a:pt x="0" y="4835"/>
                    <a:pt x="0" y="10800"/>
                  </a:cubicBezTo>
                  <a:close/>
                </a:path>
              </a:pathLst>
            </a:cu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42" name="Rectangle 33">
              <a:extLst>
                <a:ext uri="{FF2B5EF4-FFF2-40B4-BE49-F238E27FC236}">
                  <a16:creationId xmlns:a16="http://schemas.microsoft.com/office/drawing/2014/main" id="{00000000-0008-0000-0600-00005E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28" y="852"/>
              <a:ext cx="70" cy="12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43" name="AutoShape 34">
              <a:extLst>
                <a:ext uri="{FF2B5EF4-FFF2-40B4-BE49-F238E27FC236}">
                  <a16:creationId xmlns:a16="http://schemas.microsoft.com/office/drawing/2014/main" id="{00000000-0008-0000-0600-00005F4D01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1503" y="853"/>
              <a:ext cx="49" cy="5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21600"/>
                <a:gd name="T13" fmla="*/ 0 h 21600"/>
                <a:gd name="T14" fmla="*/ 21600 w 21600"/>
                <a:gd name="T15" fmla="*/ 7776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5400" y="10800"/>
                  </a:moveTo>
                  <a:cubicBezTo>
                    <a:pt x="5400" y="7817"/>
                    <a:pt x="7817" y="5400"/>
                    <a:pt x="10800" y="5400"/>
                  </a:cubicBezTo>
                  <a:cubicBezTo>
                    <a:pt x="13782" y="5399"/>
                    <a:pt x="16199" y="7817"/>
                    <a:pt x="16200" y="10799"/>
                  </a:cubicBezTo>
                  <a:lnTo>
                    <a:pt x="21600" y="10800"/>
                  </a:lnTo>
                  <a:cubicBezTo>
                    <a:pt x="21600" y="4835"/>
                    <a:pt x="16764" y="0"/>
                    <a:pt x="10800" y="0"/>
                  </a:cubicBezTo>
                  <a:cubicBezTo>
                    <a:pt x="4835" y="0"/>
                    <a:pt x="0" y="4835"/>
                    <a:pt x="0" y="10800"/>
                  </a:cubicBezTo>
                  <a:close/>
                </a:path>
              </a:pathLst>
            </a:cu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44" name="Rectangle 35">
              <a:extLst>
                <a:ext uri="{FF2B5EF4-FFF2-40B4-BE49-F238E27FC236}">
                  <a16:creationId xmlns:a16="http://schemas.microsoft.com/office/drawing/2014/main" id="{00000000-0008-0000-0600-000060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27" y="890"/>
              <a:ext cx="70" cy="12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45" name="AutoShape 36">
              <a:extLst>
                <a:ext uri="{FF2B5EF4-FFF2-40B4-BE49-F238E27FC236}">
                  <a16:creationId xmlns:a16="http://schemas.microsoft.com/office/drawing/2014/main" id="{00000000-0008-0000-0600-0000614D01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1573" y="890"/>
              <a:ext cx="49" cy="49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21600"/>
                <a:gd name="T13" fmla="*/ 0 h 21600"/>
                <a:gd name="T14" fmla="*/ 21600 w 21600"/>
                <a:gd name="T15" fmla="*/ 7494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5400" y="10800"/>
                  </a:moveTo>
                  <a:cubicBezTo>
                    <a:pt x="5400" y="7817"/>
                    <a:pt x="7817" y="5400"/>
                    <a:pt x="10800" y="5400"/>
                  </a:cubicBezTo>
                  <a:cubicBezTo>
                    <a:pt x="13782" y="5399"/>
                    <a:pt x="16199" y="7817"/>
                    <a:pt x="16200" y="10799"/>
                  </a:cubicBezTo>
                  <a:lnTo>
                    <a:pt x="21600" y="10800"/>
                  </a:lnTo>
                  <a:cubicBezTo>
                    <a:pt x="21600" y="4835"/>
                    <a:pt x="16764" y="0"/>
                    <a:pt x="10800" y="0"/>
                  </a:cubicBezTo>
                  <a:cubicBezTo>
                    <a:pt x="4835" y="0"/>
                    <a:pt x="0" y="4835"/>
                    <a:pt x="0" y="10800"/>
                  </a:cubicBezTo>
                  <a:close/>
                </a:path>
              </a:pathLst>
            </a:cu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46" name="Rectangle 37">
              <a:extLst>
                <a:ext uri="{FF2B5EF4-FFF2-40B4-BE49-F238E27FC236}">
                  <a16:creationId xmlns:a16="http://schemas.microsoft.com/office/drawing/2014/main" id="{00000000-0008-0000-0600-000062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76" y="926"/>
              <a:ext cx="121" cy="13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47" name="Line 38">
              <a:extLst>
                <a:ext uri="{FF2B5EF4-FFF2-40B4-BE49-F238E27FC236}">
                  <a16:creationId xmlns:a16="http://schemas.microsoft.com/office/drawing/2014/main" id="{00000000-0008-0000-0600-000063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80" y="806"/>
              <a:ext cx="1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med"/>
              <a:tailEnd type="triangle" w="sm" len="med"/>
            </a:ln>
          </xdr:spPr>
        </xdr:sp>
        <xdr:sp macro="" textlink="">
          <xdr:nvSpPr>
            <xdr:cNvPr id="5159" name="Text Box 39">
              <a:extLst>
                <a:ext uri="{FF2B5EF4-FFF2-40B4-BE49-F238E27FC236}">
                  <a16:creationId xmlns:a16="http://schemas.microsoft.com/office/drawing/2014/main" id="{00000000-0008-0000-0600-000027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27" y="786"/>
              <a:ext cx="24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85349" name="Line 40">
              <a:extLst>
                <a:ext uri="{FF2B5EF4-FFF2-40B4-BE49-F238E27FC236}">
                  <a16:creationId xmlns:a16="http://schemas.microsoft.com/office/drawing/2014/main" id="{00000000-0008-0000-0600-000065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72" y="815"/>
              <a:ext cx="0" cy="1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med"/>
              <a:tailEnd type="arrow" w="sm" len="med"/>
            </a:ln>
          </xdr:spPr>
        </xdr:sp>
        <xdr:sp macro="" textlink="">
          <xdr:nvSpPr>
            <xdr:cNvPr id="5161" name="Text Box 41">
              <a:extLst>
                <a:ext uri="{FF2B5EF4-FFF2-40B4-BE49-F238E27FC236}">
                  <a16:creationId xmlns:a16="http://schemas.microsoft.com/office/drawing/2014/main" id="{00000000-0008-0000-0600-000029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451" y="814"/>
              <a:ext cx="24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</a:p>
          </xdr:txBody>
        </xdr:sp>
        <xdr:sp macro="" textlink="">
          <xdr:nvSpPr>
            <xdr:cNvPr id="85351" name="Line 42">
              <a:extLst>
                <a:ext uri="{FF2B5EF4-FFF2-40B4-BE49-F238E27FC236}">
                  <a16:creationId xmlns:a16="http://schemas.microsoft.com/office/drawing/2014/main" id="{00000000-0008-0000-0600-000067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61" y="840"/>
              <a:ext cx="18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dash"/>
              <a:round/>
              <a:headEnd/>
              <a:tailEnd/>
            </a:ln>
          </xdr:spPr>
        </xdr:sp>
        <xdr:sp macro="" textlink="">
          <xdr:nvSpPr>
            <xdr:cNvPr id="85352" name="Line 43">
              <a:extLst>
                <a:ext uri="{FF2B5EF4-FFF2-40B4-BE49-F238E27FC236}">
                  <a16:creationId xmlns:a16="http://schemas.microsoft.com/office/drawing/2014/main" id="{00000000-0008-0000-0600-000068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597" y="821"/>
              <a:ext cx="0" cy="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med"/>
              <a:tailEnd type="arrow" w="sm" len="med"/>
            </a:ln>
          </xdr:spPr>
        </xdr:sp>
        <xdr:sp macro="" textlink="">
          <xdr:nvSpPr>
            <xdr:cNvPr id="5164" name="Text Box 44">
              <a:extLst>
                <a:ext uri="{FF2B5EF4-FFF2-40B4-BE49-F238E27FC236}">
                  <a16:creationId xmlns:a16="http://schemas.microsoft.com/office/drawing/2014/main" id="{00000000-0008-0000-0600-00002C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79" y="826"/>
              <a:ext cx="24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</a:p>
          </xdr:txBody>
        </xdr:sp>
        <xdr:sp macro="" textlink="">
          <xdr:nvSpPr>
            <xdr:cNvPr id="85354" name="Line 45">
              <a:extLst>
                <a:ext uri="{FF2B5EF4-FFF2-40B4-BE49-F238E27FC236}">
                  <a16:creationId xmlns:a16="http://schemas.microsoft.com/office/drawing/2014/main" id="{00000000-0008-0000-0600-00006A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529" y="870"/>
              <a:ext cx="6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med"/>
              <a:tailEnd type="triangle" w="sm" len="med"/>
            </a:ln>
          </xdr:spPr>
        </xdr:sp>
        <xdr:sp macro="" textlink="">
          <xdr:nvSpPr>
            <xdr:cNvPr id="5166" name="Text Box 46">
              <a:extLst>
                <a:ext uri="{FF2B5EF4-FFF2-40B4-BE49-F238E27FC236}">
                  <a16:creationId xmlns:a16="http://schemas.microsoft.com/office/drawing/2014/main" id="{00000000-0008-0000-0600-00002E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58" y="862"/>
              <a:ext cx="23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  <xdr:sp macro="" textlink="">
          <xdr:nvSpPr>
            <xdr:cNvPr id="85356" name="Line 50">
              <a:extLst>
                <a:ext uri="{FF2B5EF4-FFF2-40B4-BE49-F238E27FC236}">
                  <a16:creationId xmlns:a16="http://schemas.microsoft.com/office/drawing/2014/main" id="{00000000-0008-0000-0600-00006C4D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452" y="878"/>
              <a:ext cx="184" cy="0"/>
            </a:xfrm>
            <a:prstGeom prst="line">
              <a:avLst/>
            </a:prstGeom>
            <a:noFill/>
            <a:ln w="19050">
              <a:solidFill>
                <a:srgbClr val="0000FF"/>
              </a:solidFill>
              <a:prstDash val="lgDashDot"/>
              <a:round/>
              <a:headEnd/>
              <a:tailEnd/>
            </a:ln>
          </xdr:spPr>
        </xdr:sp>
      </xdr:grpSp>
      <xdr:sp macro="" textlink="">
        <xdr:nvSpPr>
          <xdr:cNvPr id="5171" name="Text Box 51">
            <a:extLst>
              <a:ext uri="{FF2B5EF4-FFF2-40B4-BE49-F238E27FC236}">
                <a16:creationId xmlns:a16="http://schemas.microsoft.com/office/drawing/2014/main" id="{00000000-0008-0000-0600-000033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6" y="1258"/>
            <a:ext cx="143" cy="3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strike="noStrike">
                <a:solidFill>
                  <a:srgbClr val="0000FF"/>
                </a:solidFill>
                <a:latin typeface="Arial"/>
                <a:cs typeface="Arial"/>
              </a:rPr>
              <a:t>Cote de réf. pour le pas entre tubes</a:t>
            </a:r>
          </a:p>
        </xdr:txBody>
      </xdr:sp>
      <xdr:sp macro="" textlink="">
        <xdr:nvSpPr>
          <xdr:cNvPr id="85309" name="Line 52">
            <a:extLst>
              <a:ext uri="{FF2B5EF4-FFF2-40B4-BE49-F238E27FC236}">
                <a16:creationId xmlns:a16="http://schemas.microsoft.com/office/drawing/2014/main" id="{00000000-0008-0000-0600-00003D4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33" y="1276"/>
            <a:ext cx="79" cy="1"/>
          </a:xfrm>
          <a:prstGeom prst="line">
            <a:avLst/>
          </a:prstGeom>
          <a:noFill/>
          <a:ln w="19050">
            <a:solidFill>
              <a:srgbClr val="0000FF"/>
            </a:solidFill>
            <a:prstDash val="lgDashDot"/>
            <a:round/>
            <a:headEnd/>
            <a:tailEnd/>
          </a:ln>
        </xdr:spPr>
      </xdr:sp>
      <xdr:sp macro="" textlink="">
        <xdr:nvSpPr>
          <xdr:cNvPr id="5181" name="Text Box 61">
            <a:extLst>
              <a:ext uri="{FF2B5EF4-FFF2-40B4-BE49-F238E27FC236}">
                <a16:creationId xmlns:a16="http://schemas.microsoft.com/office/drawing/2014/main" id="{00000000-0008-0000-0600-00003D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3" y="1088"/>
            <a:ext cx="71" cy="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Arial"/>
                <a:cs typeface="Arial"/>
              </a:rPr>
              <a:t>Tube PP :</a:t>
            </a:r>
          </a:p>
        </xdr:txBody>
      </xdr:sp>
      <xdr:grpSp>
        <xdr:nvGrpSpPr>
          <xdr:cNvPr id="85311" name="Group 208">
            <a:extLst>
              <a:ext uri="{FF2B5EF4-FFF2-40B4-BE49-F238E27FC236}">
                <a16:creationId xmlns:a16="http://schemas.microsoft.com/office/drawing/2014/main" id="{00000000-0008-0000-0600-00003F4D0100}"/>
              </a:ext>
            </a:extLst>
          </xdr:cNvPr>
          <xdr:cNvGrpSpPr>
            <a:grpSpLocks/>
          </xdr:cNvGrpSpPr>
        </xdr:nvGrpSpPr>
        <xdr:grpSpPr bwMode="auto">
          <a:xfrm>
            <a:off x="1441" y="1098"/>
            <a:ext cx="204" cy="118"/>
            <a:chOff x="1435" y="968"/>
            <a:chExt cx="204" cy="118"/>
          </a:xfrm>
        </xdr:grpSpPr>
        <xdr:sp macro="" textlink="">
          <xdr:nvSpPr>
            <xdr:cNvPr id="85323" name="Rectangle 54">
              <a:extLst>
                <a:ext uri="{FF2B5EF4-FFF2-40B4-BE49-F238E27FC236}">
                  <a16:creationId xmlns:a16="http://schemas.microsoft.com/office/drawing/2014/main" id="{00000000-0008-0000-0600-00004B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92" y="1073"/>
              <a:ext cx="120" cy="13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24" name="Rectangle 55">
              <a:extLst>
                <a:ext uri="{FF2B5EF4-FFF2-40B4-BE49-F238E27FC236}">
                  <a16:creationId xmlns:a16="http://schemas.microsoft.com/office/drawing/2014/main" id="{00000000-0008-0000-0600-00004C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92" y="1033"/>
              <a:ext cx="120" cy="16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25" name="AutoShape 56">
              <a:extLst>
                <a:ext uri="{FF2B5EF4-FFF2-40B4-BE49-F238E27FC236}">
                  <a16:creationId xmlns:a16="http://schemas.microsoft.com/office/drawing/2014/main" id="{00000000-0008-0000-0600-00004D4D01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1589" y="1036"/>
              <a:ext cx="49" cy="49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21600"/>
                <a:gd name="T13" fmla="*/ 0 h 21600"/>
                <a:gd name="T14" fmla="*/ 21600 w 21600"/>
                <a:gd name="T15" fmla="*/ 7494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5400" y="10800"/>
                  </a:moveTo>
                  <a:cubicBezTo>
                    <a:pt x="5400" y="7817"/>
                    <a:pt x="7817" y="5400"/>
                    <a:pt x="10800" y="5400"/>
                  </a:cubicBezTo>
                  <a:cubicBezTo>
                    <a:pt x="13782" y="5399"/>
                    <a:pt x="16199" y="7817"/>
                    <a:pt x="16200" y="10799"/>
                  </a:cubicBezTo>
                  <a:lnTo>
                    <a:pt x="21600" y="10800"/>
                  </a:lnTo>
                  <a:cubicBezTo>
                    <a:pt x="21600" y="4835"/>
                    <a:pt x="16764" y="0"/>
                    <a:pt x="10800" y="0"/>
                  </a:cubicBezTo>
                  <a:cubicBezTo>
                    <a:pt x="4835" y="0"/>
                    <a:pt x="0" y="4835"/>
                    <a:pt x="0" y="10800"/>
                  </a:cubicBezTo>
                  <a:close/>
                </a:path>
              </a:pathLst>
            </a:cu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26" name="AutoShape 57">
              <a:extLst>
                <a:ext uri="{FF2B5EF4-FFF2-40B4-BE49-F238E27FC236}">
                  <a16:creationId xmlns:a16="http://schemas.microsoft.com/office/drawing/2014/main" id="{00000000-0008-0000-0600-00004E4D01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1467" y="1037"/>
              <a:ext cx="49" cy="49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21600"/>
                <a:gd name="T13" fmla="*/ 0 h 21600"/>
                <a:gd name="T14" fmla="*/ 21600 w 21600"/>
                <a:gd name="T15" fmla="*/ 7494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5400" y="10800"/>
                  </a:moveTo>
                  <a:cubicBezTo>
                    <a:pt x="5400" y="7817"/>
                    <a:pt x="7817" y="5400"/>
                    <a:pt x="10800" y="5400"/>
                  </a:cubicBezTo>
                  <a:cubicBezTo>
                    <a:pt x="13782" y="5399"/>
                    <a:pt x="16199" y="7817"/>
                    <a:pt x="16200" y="10799"/>
                  </a:cubicBezTo>
                  <a:lnTo>
                    <a:pt x="21600" y="10800"/>
                  </a:lnTo>
                  <a:cubicBezTo>
                    <a:pt x="21600" y="4835"/>
                    <a:pt x="16764" y="0"/>
                    <a:pt x="10800" y="0"/>
                  </a:cubicBezTo>
                  <a:cubicBezTo>
                    <a:pt x="4835" y="0"/>
                    <a:pt x="0" y="4835"/>
                    <a:pt x="0" y="10800"/>
                  </a:cubicBezTo>
                  <a:close/>
                </a:path>
              </a:pathLst>
            </a:cu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27" name="AutoShape 58">
              <a:extLst>
                <a:ext uri="{FF2B5EF4-FFF2-40B4-BE49-F238E27FC236}">
                  <a16:creationId xmlns:a16="http://schemas.microsoft.com/office/drawing/2014/main" id="{00000000-0008-0000-0600-00004F4D01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1588" y="997"/>
              <a:ext cx="49" cy="49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21600"/>
                <a:gd name="T13" fmla="*/ 0 h 21600"/>
                <a:gd name="T14" fmla="*/ 21600 w 21600"/>
                <a:gd name="T15" fmla="*/ 7494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5400" y="10800"/>
                  </a:moveTo>
                  <a:cubicBezTo>
                    <a:pt x="5400" y="7817"/>
                    <a:pt x="7817" y="5400"/>
                    <a:pt x="10800" y="5400"/>
                  </a:cubicBezTo>
                  <a:cubicBezTo>
                    <a:pt x="13782" y="5399"/>
                    <a:pt x="16199" y="7817"/>
                    <a:pt x="16200" y="10799"/>
                  </a:cubicBezTo>
                  <a:lnTo>
                    <a:pt x="21600" y="10800"/>
                  </a:lnTo>
                  <a:cubicBezTo>
                    <a:pt x="21600" y="4835"/>
                    <a:pt x="16764" y="0"/>
                    <a:pt x="10800" y="0"/>
                  </a:cubicBezTo>
                  <a:cubicBezTo>
                    <a:pt x="4835" y="0"/>
                    <a:pt x="0" y="4835"/>
                    <a:pt x="0" y="10800"/>
                  </a:cubicBezTo>
                  <a:close/>
                </a:path>
              </a:pathLst>
            </a:cu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28" name="AutoShape 59">
              <a:extLst>
                <a:ext uri="{FF2B5EF4-FFF2-40B4-BE49-F238E27FC236}">
                  <a16:creationId xmlns:a16="http://schemas.microsoft.com/office/drawing/2014/main" id="{00000000-0008-0000-0600-0000504D01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1467" y="997"/>
              <a:ext cx="49" cy="49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21600"/>
                <a:gd name="T13" fmla="*/ 0 h 21600"/>
                <a:gd name="T14" fmla="*/ 21600 w 21600"/>
                <a:gd name="T15" fmla="*/ 7494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5400" y="10800"/>
                  </a:moveTo>
                  <a:cubicBezTo>
                    <a:pt x="5400" y="7817"/>
                    <a:pt x="7817" y="5400"/>
                    <a:pt x="10800" y="5400"/>
                  </a:cubicBezTo>
                  <a:cubicBezTo>
                    <a:pt x="13782" y="5399"/>
                    <a:pt x="16199" y="7817"/>
                    <a:pt x="16200" y="10799"/>
                  </a:cubicBezTo>
                  <a:lnTo>
                    <a:pt x="21600" y="10800"/>
                  </a:lnTo>
                  <a:cubicBezTo>
                    <a:pt x="21600" y="4835"/>
                    <a:pt x="16764" y="0"/>
                    <a:pt x="10800" y="0"/>
                  </a:cubicBezTo>
                  <a:cubicBezTo>
                    <a:pt x="4835" y="0"/>
                    <a:pt x="0" y="4835"/>
                    <a:pt x="0" y="10800"/>
                  </a:cubicBezTo>
                  <a:close/>
                </a:path>
              </a:pathLst>
            </a:cu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29" name="Rectangle 60">
              <a:extLst>
                <a:ext uri="{FF2B5EF4-FFF2-40B4-BE49-F238E27FC236}">
                  <a16:creationId xmlns:a16="http://schemas.microsoft.com/office/drawing/2014/main" id="{00000000-0008-0000-0600-000051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92" y="996"/>
              <a:ext cx="120" cy="13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330" name="Line 62">
              <a:extLst>
                <a:ext uri="{FF2B5EF4-FFF2-40B4-BE49-F238E27FC236}">
                  <a16:creationId xmlns:a16="http://schemas.microsoft.com/office/drawing/2014/main" id="{00000000-0008-0000-0600-000052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93" y="989"/>
              <a:ext cx="1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med"/>
              <a:tailEnd type="triangle" w="sm" len="med"/>
            </a:ln>
          </xdr:spPr>
        </xdr:sp>
        <xdr:sp macro="" textlink="">
          <xdr:nvSpPr>
            <xdr:cNvPr id="5183" name="Text Box 63">
              <a:extLst>
                <a:ext uri="{FF2B5EF4-FFF2-40B4-BE49-F238E27FC236}">
                  <a16:creationId xmlns:a16="http://schemas.microsoft.com/office/drawing/2014/main" id="{00000000-0008-0000-0600-00003F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34" y="968"/>
              <a:ext cx="24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85332" name="Line 64">
              <a:extLst>
                <a:ext uri="{FF2B5EF4-FFF2-40B4-BE49-F238E27FC236}">
                  <a16:creationId xmlns:a16="http://schemas.microsoft.com/office/drawing/2014/main" id="{00000000-0008-0000-0600-000054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58" y="1020"/>
              <a:ext cx="18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dash"/>
              <a:round/>
              <a:headEnd/>
              <a:tailEnd/>
            </a:ln>
          </xdr:spPr>
        </xdr:sp>
        <xdr:sp macro="" textlink="">
          <xdr:nvSpPr>
            <xdr:cNvPr id="5185" name="Text Box 65">
              <a:extLst>
                <a:ext uri="{FF2B5EF4-FFF2-40B4-BE49-F238E27FC236}">
                  <a16:creationId xmlns:a16="http://schemas.microsoft.com/office/drawing/2014/main" id="{00000000-0008-0000-0600-000041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95" y="1007"/>
              <a:ext cx="23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</a:p>
          </xdr:txBody>
        </xdr:sp>
        <xdr:sp macro="" textlink="">
          <xdr:nvSpPr>
            <xdr:cNvPr id="85334" name="Line 66">
              <a:extLst>
                <a:ext uri="{FF2B5EF4-FFF2-40B4-BE49-F238E27FC236}">
                  <a16:creationId xmlns:a16="http://schemas.microsoft.com/office/drawing/2014/main" id="{00000000-0008-0000-0600-000056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609" y="1000"/>
              <a:ext cx="0" cy="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med"/>
              <a:tailEnd type="arrow" w="sm" len="med"/>
            </a:ln>
          </xdr:spPr>
        </xdr:sp>
        <xdr:sp macro="" textlink="">
          <xdr:nvSpPr>
            <xdr:cNvPr id="5187" name="Text Box 67">
              <a:extLst>
                <a:ext uri="{FF2B5EF4-FFF2-40B4-BE49-F238E27FC236}">
                  <a16:creationId xmlns:a16="http://schemas.microsoft.com/office/drawing/2014/main" id="{00000000-0008-0000-0600-000043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496" y="1031"/>
              <a:ext cx="24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B1</a:t>
              </a:r>
            </a:p>
          </xdr:txBody>
        </xdr:sp>
        <xdr:sp macro="" textlink="">
          <xdr:nvSpPr>
            <xdr:cNvPr id="85336" name="Line 68">
              <a:extLst>
                <a:ext uri="{FF2B5EF4-FFF2-40B4-BE49-F238E27FC236}">
                  <a16:creationId xmlns:a16="http://schemas.microsoft.com/office/drawing/2014/main" id="{00000000-0008-0000-0600-000058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518" y="1030"/>
              <a:ext cx="0" cy="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med"/>
              <a:tailEnd type="arrow" w="sm" len="med"/>
            </a:ln>
          </xdr:spPr>
        </xdr:sp>
        <xdr:sp macro="" textlink="">
          <xdr:nvSpPr>
            <xdr:cNvPr id="85337" name="Rectangle 205">
              <a:extLst>
                <a:ext uri="{FF2B5EF4-FFF2-40B4-BE49-F238E27FC236}">
                  <a16:creationId xmlns:a16="http://schemas.microsoft.com/office/drawing/2014/main" id="{00000000-0008-0000-0600-0000594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35" y="1033"/>
              <a:ext cx="58" cy="16"/>
            </a:xfrm>
            <a:prstGeom prst="rect">
              <a:avLst/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326" name="Text Box 206">
              <a:extLst>
                <a:ext uri="{FF2B5EF4-FFF2-40B4-BE49-F238E27FC236}">
                  <a16:creationId xmlns:a16="http://schemas.microsoft.com/office/drawing/2014/main" id="{00000000-0008-0000-0600-0000CE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494" y="994"/>
              <a:ext cx="24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0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B2</a:t>
              </a:r>
            </a:p>
          </xdr:txBody>
        </xdr:sp>
        <xdr:sp macro="" textlink="">
          <xdr:nvSpPr>
            <xdr:cNvPr id="85339" name="Line 207">
              <a:extLst>
                <a:ext uri="{FF2B5EF4-FFF2-40B4-BE49-F238E27FC236}">
                  <a16:creationId xmlns:a16="http://schemas.microsoft.com/office/drawing/2014/main" id="{00000000-0008-0000-0600-00005B4D0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516" y="993"/>
              <a:ext cx="0" cy="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med"/>
              <a:tailEnd type="arrow" w="sm" len="med"/>
            </a:ln>
          </xdr:spPr>
        </xdr:sp>
      </xdr:grpSp>
      <xdr:sp macro="" textlink="">
        <xdr:nvSpPr>
          <xdr:cNvPr id="85312" name="Rectangle 213">
            <a:extLst>
              <a:ext uri="{FF2B5EF4-FFF2-40B4-BE49-F238E27FC236}">
                <a16:creationId xmlns:a16="http://schemas.microsoft.com/office/drawing/2014/main" id="{00000000-0008-0000-0600-0000404D0100}"/>
              </a:ext>
            </a:extLst>
          </xdr:cNvPr>
          <xdr:cNvSpPr>
            <a:spLocks noChangeArrowheads="1"/>
          </xdr:cNvSpPr>
        </xdr:nvSpPr>
        <xdr:spPr bwMode="auto">
          <a:xfrm>
            <a:off x="1522" y="792"/>
            <a:ext cx="74" cy="12"/>
          </a:xfrm>
          <a:prstGeom prst="rect">
            <a:avLst/>
          </a:prstGeom>
          <a:solidFill>
            <a:srgbClr val="FF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5313" name="AutoShape 214">
            <a:extLst>
              <a:ext uri="{FF2B5EF4-FFF2-40B4-BE49-F238E27FC236}">
                <a16:creationId xmlns:a16="http://schemas.microsoft.com/office/drawing/2014/main" id="{00000000-0008-0000-0600-0000414D0100}"/>
              </a:ext>
            </a:extLst>
          </xdr:cNvPr>
          <xdr:cNvSpPr>
            <a:spLocks noChangeArrowheads="1"/>
          </xdr:cNvSpPr>
        </xdr:nvSpPr>
        <xdr:spPr bwMode="auto">
          <a:xfrm rot="5400000">
            <a:off x="1571" y="792"/>
            <a:ext cx="49" cy="4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0 60000 65536"/>
              <a:gd name="T9" fmla="*/ 0 60000 65536"/>
              <a:gd name="T10" fmla="*/ 0 60000 65536"/>
              <a:gd name="T11" fmla="*/ 0 60000 65536"/>
              <a:gd name="T12" fmla="*/ 0 w 21600"/>
              <a:gd name="T13" fmla="*/ 0 h 21600"/>
              <a:gd name="T14" fmla="*/ 21600 w 21600"/>
              <a:gd name="T15" fmla="*/ 7494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5400" y="10800"/>
                </a:moveTo>
                <a:cubicBezTo>
                  <a:pt x="5400" y="7817"/>
                  <a:pt x="7817" y="5400"/>
                  <a:pt x="10800" y="5400"/>
                </a:cubicBezTo>
                <a:cubicBezTo>
                  <a:pt x="13782" y="5399"/>
                  <a:pt x="16199" y="7817"/>
                  <a:pt x="16200" y="10799"/>
                </a:cubicBezTo>
                <a:lnTo>
                  <a:pt x="21600" y="10800"/>
                </a:lnTo>
                <a:cubicBezTo>
                  <a:pt x="21600" y="4835"/>
                  <a:pt x="16764" y="0"/>
                  <a:pt x="10800" y="0"/>
                </a:cubicBezTo>
                <a:cubicBezTo>
                  <a:pt x="4835" y="0"/>
                  <a:pt x="0" y="4835"/>
                  <a:pt x="0" y="10800"/>
                </a:cubicBezTo>
                <a:close/>
              </a:path>
            </a:pathLst>
          </a:custGeom>
          <a:solidFill>
            <a:srgbClr val="FF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5314" name="Line 216">
            <a:extLst>
              <a:ext uri="{FF2B5EF4-FFF2-40B4-BE49-F238E27FC236}">
                <a16:creationId xmlns:a16="http://schemas.microsoft.com/office/drawing/2014/main" id="{00000000-0008-0000-0600-0000424D0100}"/>
              </a:ext>
            </a:extLst>
          </xdr:cNvPr>
          <xdr:cNvSpPr>
            <a:spLocks noChangeShapeType="1"/>
          </xdr:cNvSpPr>
        </xdr:nvSpPr>
        <xdr:spPr bwMode="auto">
          <a:xfrm>
            <a:off x="1477" y="849"/>
            <a:ext cx="11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</xdr:spPr>
      </xdr:sp>
      <xdr:sp macro="" textlink="">
        <xdr:nvSpPr>
          <xdr:cNvPr id="5337" name="Text Box 217">
            <a:extLst>
              <a:ext uri="{FF2B5EF4-FFF2-40B4-BE49-F238E27FC236}">
                <a16:creationId xmlns:a16="http://schemas.microsoft.com/office/drawing/2014/main" id="{00000000-0008-0000-0600-0000D9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9" y="849"/>
            <a:ext cx="24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A</a:t>
            </a:r>
          </a:p>
        </xdr:txBody>
      </xdr:sp>
      <xdr:sp macro="" textlink="">
        <xdr:nvSpPr>
          <xdr:cNvPr id="5338" name="Text Box 218">
            <a:extLst>
              <a:ext uri="{FF2B5EF4-FFF2-40B4-BE49-F238E27FC236}">
                <a16:creationId xmlns:a16="http://schemas.microsoft.com/office/drawing/2014/main" id="{00000000-0008-0000-0600-0000DA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4" y="827"/>
            <a:ext cx="24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B</a:t>
            </a:r>
          </a:p>
        </xdr:txBody>
      </xdr:sp>
      <xdr:sp macro="" textlink="">
        <xdr:nvSpPr>
          <xdr:cNvPr id="85317" name="Line 219">
            <a:extLst>
              <a:ext uri="{FF2B5EF4-FFF2-40B4-BE49-F238E27FC236}">
                <a16:creationId xmlns:a16="http://schemas.microsoft.com/office/drawing/2014/main" id="{00000000-0008-0000-0600-0000454D0100}"/>
              </a:ext>
            </a:extLst>
          </xdr:cNvPr>
          <xdr:cNvSpPr>
            <a:spLocks noChangeShapeType="1"/>
          </xdr:cNvSpPr>
        </xdr:nvSpPr>
        <xdr:spPr bwMode="auto">
          <a:xfrm>
            <a:off x="1472" y="828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sm" len="med"/>
            <a:tailEnd type="arrow" w="sm" len="med"/>
          </a:ln>
        </xdr:spPr>
      </xdr:sp>
      <xdr:sp macro="" textlink="">
        <xdr:nvSpPr>
          <xdr:cNvPr id="85318" name="Line 220">
            <a:extLst>
              <a:ext uri="{FF2B5EF4-FFF2-40B4-BE49-F238E27FC236}">
                <a16:creationId xmlns:a16="http://schemas.microsoft.com/office/drawing/2014/main" id="{00000000-0008-0000-0600-0000464D0100}"/>
              </a:ext>
            </a:extLst>
          </xdr:cNvPr>
          <xdr:cNvSpPr>
            <a:spLocks noChangeShapeType="1"/>
          </xdr:cNvSpPr>
        </xdr:nvSpPr>
        <xdr:spPr bwMode="auto">
          <a:xfrm>
            <a:off x="1594" y="796"/>
            <a:ext cx="0" cy="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sm" len="med"/>
            <a:tailEnd type="arrow" w="sm" len="med"/>
          </a:ln>
        </xdr:spPr>
      </xdr:sp>
      <xdr:sp macro="" textlink="">
        <xdr:nvSpPr>
          <xdr:cNvPr id="5341" name="Text Box 221">
            <a:extLst>
              <a:ext uri="{FF2B5EF4-FFF2-40B4-BE49-F238E27FC236}">
                <a16:creationId xmlns:a16="http://schemas.microsoft.com/office/drawing/2014/main" id="{00000000-0008-0000-0600-0000DD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75" y="801"/>
            <a:ext cx="24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xdr:txBody>
      </xdr:sp>
      <xdr:sp macro="" textlink="">
        <xdr:nvSpPr>
          <xdr:cNvPr id="85320" name="Line 222">
            <a:extLst>
              <a:ext uri="{FF2B5EF4-FFF2-40B4-BE49-F238E27FC236}">
                <a16:creationId xmlns:a16="http://schemas.microsoft.com/office/drawing/2014/main" id="{00000000-0008-0000-0600-0000484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53" y="816"/>
            <a:ext cx="181" cy="0"/>
          </a:xfrm>
          <a:prstGeom prst="line">
            <a:avLst/>
          </a:prstGeom>
          <a:noFill/>
          <a:ln w="19050">
            <a:solidFill>
              <a:srgbClr val="0000FF"/>
            </a:solidFill>
            <a:prstDash val="lgDashDot"/>
            <a:round/>
            <a:headEnd/>
            <a:tailEnd/>
          </a:ln>
        </xdr:spPr>
      </xdr:sp>
      <xdr:sp macro="" textlink="">
        <xdr:nvSpPr>
          <xdr:cNvPr id="85321" name="AutoShape 223">
            <a:extLst>
              <a:ext uri="{FF2B5EF4-FFF2-40B4-BE49-F238E27FC236}">
                <a16:creationId xmlns:a16="http://schemas.microsoft.com/office/drawing/2014/main" id="{00000000-0008-0000-0600-0000494D01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1498" y="792"/>
            <a:ext cx="49" cy="4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0 60000 65536"/>
              <a:gd name="T9" fmla="*/ 0 60000 65536"/>
              <a:gd name="T10" fmla="*/ 0 60000 65536"/>
              <a:gd name="T11" fmla="*/ 0 60000 65536"/>
              <a:gd name="T12" fmla="*/ 0 w 21600"/>
              <a:gd name="T13" fmla="*/ 0 h 21600"/>
              <a:gd name="T14" fmla="*/ 21600 w 21600"/>
              <a:gd name="T15" fmla="*/ 7494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5400" y="10800"/>
                </a:moveTo>
                <a:cubicBezTo>
                  <a:pt x="5400" y="7817"/>
                  <a:pt x="7817" y="5400"/>
                  <a:pt x="10800" y="5400"/>
                </a:cubicBezTo>
                <a:cubicBezTo>
                  <a:pt x="13782" y="5399"/>
                  <a:pt x="16199" y="7817"/>
                  <a:pt x="16200" y="10799"/>
                </a:cubicBezTo>
                <a:lnTo>
                  <a:pt x="21600" y="10800"/>
                </a:lnTo>
                <a:cubicBezTo>
                  <a:pt x="21600" y="4835"/>
                  <a:pt x="16764" y="0"/>
                  <a:pt x="10800" y="0"/>
                </a:cubicBezTo>
                <a:cubicBezTo>
                  <a:pt x="4835" y="0"/>
                  <a:pt x="0" y="4835"/>
                  <a:pt x="0" y="10800"/>
                </a:cubicBezTo>
                <a:close/>
              </a:path>
            </a:pathLst>
          </a:custGeom>
          <a:solidFill>
            <a:srgbClr val="FF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5322" name="Rectangle 215">
            <a:extLst>
              <a:ext uri="{FF2B5EF4-FFF2-40B4-BE49-F238E27FC236}">
                <a16:creationId xmlns:a16="http://schemas.microsoft.com/office/drawing/2014/main" id="{00000000-0008-0000-0600-00004A4D0100}"/>
              </a:ext>
            </a:extLst>
          </xdr:cNvPr>
          <xdr:cNvSpPr>
            <a:spLocks noChangeArrowheads="1"/>
          </xdr:cNvSpPr>
        </xdr:nvSpPr>
        <xdr:spPr bwMode="auto">
          <a:xfrm>
            <a:off x="1474" y="828"/>
            <a:ext cx="121" cy="13"/>
          </a:xfrm>
          <a:prstGeom prst="rect">
            <a:avLst/>
          </a:prstGeom>
          <a:solidFill>
            <a:srgbClr val="FF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10</xdr:row>
          <xdr:rowOff>66675</xdr:rowOff>
        </xdr:from>
        <xdr:to>
          <xdr:col>14</xdr:col>
          <xdr:colOff>514350</xdr:colOff>
          <xdr:row>11</xdr:row>
          <xdr:rowOff>152400</xdr:rowOff>
        </xdr:to>
        <xdr:sp macro="" textlink="">
          <xdr:nvSpPr>
            <xdr:cNvPr id="5126" name="CommandButton_OK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26</xdr:row>
          <xdr:rowOff>28575</xdr:rowOff>
        </xdr:from>
        <xdr:to>
          <xdr:col>2</xdr:col>
          <xdr:colOff>485775</xdr:colOff>
          <xdr:row>27</xdr:row>
          <xdr:rowOff>161925</xdr:rowOff>
        </xdr:to>
        <xdr:sp macro="" textlink="">
          <xdr:nvSpPr>
            <xdr:cNvPr id="5127" name="Command_Calcul1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27</xdr:row>
          <xdr:rowOff>66675</xdr:rowOff>
        </xdr:from>
        <xdr:to>
          <xdr:col>9</xdr:col>
          <xdr:colOff>847725</xdr:colOff>
          <xdr:row>28</xdr:row>
          <xdr:rowOff>152400</xdr:rowOff>
        </xdr:to>
        <xdr:sp macro="" textlink="">
          <xdr:nvSpPr>
            <xdr:cNvPr id="5128" name="Command_Visualisation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26</xdr:row>
          <xdr:rowOff>19050</xdr:rowOff>
        </xdr:from>
        <xdr:to>
          <xdr:col>4</xdr:col>
          <xdr:colOff>752475</xdr:colOff>
          <xdr:row>27</xdr:row>
          <xdr:rowOff>161925</xdr:rowOff>
        </xdr:to>
        <xdr:sp macro="" textlink="">
          <xdr:nvSpPr>
            <xdr:cNvPr id="5129" name="Command_Calcul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19050</xdr:rowOff>
        </xdr:from>
        <xdr:to>
          <xdr:col>7</xdr:col>
          <xdr:colOff>247650</xdr:colOff>
          <xdr:row>27</xdr:row>
          <xdr:rowOff>161925</xdr:rowOff>
        </xdr:to>
        <xdr:sp macro="" textlink="">
          <xdr:nvSpPr>
            <xdr:cNvPr id="5130" name="Command_Calcul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24</xdr:row>
          <xdr:rowOff>95250</xdr:rowOff>
        </xdr:from>
        <xdr:to>
          <xdr:col>2</xdr:col>
          <xdr:colOff>19050</xdr:colOff>
          <xdr:row>25</xdr:row>
          <xdr:rowOff>161925</xdr:rowOff>
        </xdr:to>
        <xdr:sp macro="" textlink="">
          <xdr:nvSpPr>
            <xdr:cNvPr id="5132" name="Command_Para_tubes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1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24</xdr:row>
          <xdr:rowOff>85725</xdr:rowOff>
        </xdr:from>
        <xdr:to>
          <xdr:col>2</xdr:col>
          <xdr:colOff>781050</xdr:colOff>
          <xdr:row>25</xdr:row>
          <xdr:rowOff>171450</xdr:rowOff>
        </xdr:to>
        <xdr:sp macro="" textlink="">
          <xdr:nvSpPr>
            <xdr:cNvPr id="5202" name="CommandButton1_bis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12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133350</xdr:rowOff>
        </xdr:from>
        <xdr:to>
          <xdr:col>3</xdr:col>
          <xdr:colOff>180975</xdr:colOff>
          <xdr:row>8</xdr:row>
          <xdr:rowOff>57150</xdr:rowOff>
        </xdr:to>
        <xdr:sp macro="" textlink="">
          <xdr:nvSpPr>
            <xdr:cNvPr id="5211" name="CheckBox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1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21</xdr:row>
          <xdr:rowOff>0</xdr:rowOff>
        </xdr:from>
        <xdr:to>
          <xdr:col>0</xdr:col>
          <xdr:colOff>542925</xdr:colOff>
          <xdr:row>22</xdr:row>
          <xdr:rowOff>38100</xdr:rowOff>
        </xdr:to>
        <xdr:sp macro="" textlink="">
          <xdr:nvSpPr>
            <xdr:cNvPr id="5238" name="CommandLine_speed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1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133350</xdr:rowOff>
        </xdr:from>
        <xdr:to>
          <xdr:col>10</xdr:col>
          <xdr:colOff>9525</xdr:colOff>
          <xdr:row>18</xdr:row>
          <xdr:rowOff>171450</xdr:rowOff>
        </xdr:to>
        <xdr:sp macro="" textlink="">
          <xdr:nvSpPr>
            <xdr:cNvPr id="5243" name="Version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1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8</xdr:col>
      <xdr:colOff>137583</xdr:colOff>
      <xdr:row>0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9CA374-1E4E-4536-9EFE-9F9653AC7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685800</xdr:colOff>
      <xdr:row>13</xdr:row>
      <xdr:rowOff>76200</xdr:rowOff>
    </xdr:from>
    <xdr:to>
      <xdr:col>14</xdr:col>
      <xdr:colOff>495300</xdr:colOff>
      <xdr:row>13</xdr:row>
      <xdr:rowOff>76200</xdr:rowOff>
    </xdr:to>
    <xdr:sp macro="" textlink="">
      <xdr:nvSpPr>
        <xdr:cNvPr id="6" name="Line 7">
          <a:extLst>
            <a:ext uri="{FF2B5EF4-FFF2-40B4-BE49-F238E27FC236}">
              <a16:creationId xmlns:a16="http://schemas.microsoft.com/office/drawing/2014/main" id="{FFB366EA-E205-4E3F-A034-1E59E6AF5F34}"/>
            </a:ext>
          </a:extLst>
        </xdr:cNvPr>
        <xdr:cNvSpPr>
          <a:spLocks noChangeShapeType="1"/>
        </xdr:cNvSpPr>
      </xdr:nvSpPr>
      <xdr:spPr bwMode="auto">
        <a:xfrm>
          <a:off x="7343775" y="3581400"/>
          <a:ext cx="495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485775</xdr:colOff>
      <xdr:row>12</xdr:row>
      <xdr:rowOff>47625</xdr:rowOff>
    </xdr:from>
    <xdr:to>
      <xdr:col>14</xdr:col>
      <xdr:colOff>485775</xdr:colOff>
      <xdr:row>13</xdr:row>
      <xdr:rowOff>76200</xdr:rowOff>
    </xdr:to>
    <xdr:sp macro="" textlink="">
      <xdr:nvSpPr>
        <xdr:cNvPr id="7" name="Line 9">
          <a:extLst>
            <a:ext uri="{FF2B5EF4-FFF2-40B4-BE49-F238E27FC236}">
              <a16:creationId xmlns:a16="http://schemas.microsoft.com/office/drawing/2014/main" id="{CB991782-EC94-44DB-AEF8-FAA285A4EFDC}"/>
            </a:ext>
          </a:extLst>
        </xdr:cNvPr>
        <xdr:cNvSpPr>
          <a:spLocks noChangeShapeType="1"/>
        </xdr:cNvSpPr>
      </xdr:nvSpPr>
      <xdr:spPr bwMode="auto">
        <a:xfrm flipV="1">
          <a:off x="7829550" y="3362325"/>
          <a:ext cx="0" cy="2190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752475</xdr:colOff>
      <xdr:row>60</xdr:row>
      <xdr:rowOff>123825</xdr:rowOff>
    </xdr:from>
    <xdr:to>
      <xdr:col>26</xdr:col>
      <xdr:colOff>200025</xdr:colOff>
      <xdr:row>84</xdr:row>
      <xdr:rowOff>133350</xdr:rowOff>
    </xdr:to>
    <xdr:graphicFrame macro="">
      <xdr:nvGraphicFramePr>
        <xdr:cNvPr id="6211" name="Chart 2">
          <a:extLst>
            <a:ext uri="{FF2B5EF4-FFF2-40B4-BE49-F238E27FC236}">
              <a16:creationId xmlns:a16="http://schemas.microsoft.com/office/drawing/2014/main" id="{00000000-0008-0000-0700-000043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485775</xdr:colOff>
      <xdr:row>23</xdr:row>
      <xdr:rowOff>190500</xdr:rowOff>
    </xdr:from>
    <xdr:to>
      <xdr:col>19</xdr:col>
      <xdr:colOff>600075</xdr:colOff>
      <xdr:row>34</xdr:row>
      <xdr:rowOff>0</xdr:rowOff>
    </xdr:to>
    <xdr:graphicFrame macro="">
      <xdr:nvGraphicFramePr>
        <xdr:cNvPr id="6212" name="Chart 5">
          <a:extLst>
            <a:ext uri="{FF2B5EF4-FFF2-40B4-BE49-F238E27FC236}">
              <a16:creationId xmlns:a16="http://schemas.microsoft.com/office/drawing/2014/main" id="{00000000-0008-0000-0700-000044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752475</xdr:colOff>
      <xdr:row>38</xdr:row>
      <xdr:rowOff>0</xdr:rowOff>
    </xdr:from>
    <xdr:to>
      <xdr:col>26</xdr:col>
      <xdr:colOff>219075</xdr:colOff>
      <xdr:row>60</xdr:row>
      <xdr:rowOff>114300</xdr:rowOff>
    </xdr:to>
    <xdr:graphicFrame macro="">
      <xdr:nvGraphicFramePr>
        <xdr:cNvPr id="6213" name="Chart 6">
          <a:extLst>
            <a:ext uri="{FF2B5EF4-FFF2-40B4-BE49-F238E27FC236}">
              <a16:creationId xmlns:a16="http://schemas.microsoft.com/office/drawing/2014/main" id="{00000000-0008-0000-0700-000045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685800</xdr:colOff>
      <xdr:row>20</xdr:row>
      <xdr:rowOff>76200</xdr:rowOff>
    </xdr:from>
    <xdr:to>
      <xdr:col>9</xdr:col>
      <xdr:colOff>495300</xdr:colOff>
      <xdr:row>20</xdr:row>
      <xdr:rowOff>76200</xdr:rowOff>
    </xdr:to>
    <xdr:sp macro="" textlink="">
      <xdr:nvSpPr>
        <xdr:cNvPr id="6214" name="Line 7">
          <a:extLst>
            <a:ext uri="{FF2B5EF4-FFF2-40B4-BE49-F238E27FC236}">
              <a16:creationId xmlns:a16="http://schemas.microsoft.com/office/drawing/2014/main" id="{00000000-0008-0000-0700-000046180000}"/>
            </a:ext>
          </a:extLst>
        </xdr:cNvPr>
        <xdr:cNvSpPr>
          <a:spLocks noChangeShapeType="1"/>
        </xdr:cNvSpPr>
      </xdr:nvSpPr>
      <xdr:spPr bwMode="auto">
        <a:xfrm>
          <a:off x="7343775" y="3581400"/>
          <a:ext cx="495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485775</xdr:colOff>
      <xdr:row>19</xdr:row>
      <xdr:rowOff>47625</xdr:rowOff>
    </xdr:from>
    <xdr:to>
      <xdr:col>9</xdr:col>
      <xdr:colOff>485775</xdr:colOff>
      <xdr:row>20</xdr:row>
      <xdr:rowOff>76200</xdr:rowOff>
    </xdr:to>
    <xdr:sp macro="" textlink="">
      <xdr:nvSpPr>
        <xdr:cNvPr id="6215" name="Line 9">
          <a:extLst>
            <a:ext uri="{FF2B5EF4-FFF2-40B4-BE49-F238E27FC236}">
              <a16:creationId xmlns:a16="http://schemas.microsoft.com/office/drawing/2014/main" id="{00000000-0008-0000-0700-000047180000}"/>
            </a:ext>
          </a:extLst>
        </xdr:cNvPr>
        <xdr:cNvSpPr>
          <a:spLocks noChangeShapeType="1"/>
        </xdr:cNvSpPr>
      </xdr:nvSpPr>
      <xdr:spPr bwMode="auto">
        <a:xfrm flipV="1">
          <a:off x="7829550" y="3362325"/>
          <a:ext cx="0" cy="2190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619125</xdr:colOff>
      <xdr:row>11</xdr:row>
      <xdr:rowOff>0</xdr:rowOff>
    </xdr:from>
    <xdr:to>
      <xdr:col>13</xdr:col>
      <xdr:colOff>276225</xdr:colOff>
      <xdr:row>22</xdr:row>
      <xdr:rowOff>9525</xdr:rowOff>
    </xdr:to>
    <xdr:sp macro="" textlink="">
      <xdr:nvSpPr>
        <xdr:cNvPr id="20836" name="Rectangle 11">
          <a:extLst>
            <a:ext uri="{FF2B5EF4-FFF2-40B4-BE49-F238E27FC236}">
              <a16:creationId xmlns:a16="http://schemas.microsoft.com/office/drawing/2014/main" id="{00000000-0008-0000-0800-000064510000}"/>
            </a:ext>
          </a:extLst>
        </xdr:cNvPr>
        <xdr:cNvSpPr>
          <a:spLocks noChangeArrowheads="1"/>
        </xdr:cNvSpPr>
      </xdr:nvSpPr>
      <xdr:spPr bwMode="auto">
        <a:xfrm>
          <a:off x="9201150" y="1857375"/>
          <a:ext cx="657225" cy="1838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895350</xdr:colOff>
      <xdr:row>0</xdr:row>
      <xdr:rowOff>76200</xdr:rowOff>
    </xdr:from>
    <xdr:to>
      <xdr:col>13</xdr:col>
      <xdr:colOff>180975</xdr:colOff>
      <xdr:row>3</xdr:row>
      <xdr:rowOff>76200</xdr:rowOff>
    </xdr:to>
    <xdr:sp macro="" textlink="">
      <xdr:nvSpPr>
        <xdr:cNvPr id="20837" name="AutoShape 28">
          <a:extLst>
            <a:ext uri="{FF2B5EF4-FFF2-40B4-BE49-F238E27FC236}">
              <a16:creationId xmlns:a16="http://schemas.microsoft.com/office/drawing/2014/main" id="{00000000-0008-0000-0800-000065510000}"/>
            </a:ext>
          </a:extLst>
        </xdr:cNvPr>
        <xdr:cNvSpPr>
          <a:spLocks noChangeArrowheads="1"/>
        </xdr:cNvSpPr>
      </xdr:nvSpPr>
      <xdr:spPr bwMode="auto">
        <a:xfrm rot="-3317926">
          <a:off x="9377362" y="176213"/>
          <a:ext cx="485775" cy="285750"/>
        </a:xfrm>
        <a:prstGeom prst="wave">
          <a:avLst>
            <a:gd name="adj1" fmla="val 13005"/>
            <a:gd name="adj2" fmla="val 0"/>
          </a:avLst>
        </a:prstGeom>
        <a:solidFill>
          <a:srgbClr val="969696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19</xdr:row>
      <xdr:rowOff>0</xdr:rowOff>
    </xdr:from>
    <xdr:to>
      <xdr:col>8</xdr:col>
      <xdr:colOff>0</xdr:colOff>
      <xdr:row>22</xdr:row>
      <xdr:rowOff>9525</xdr:rowOff>
    </xdr:to>
    <xdr:sp macro="" textlink="">
      <xdr:nvSpPr>
        <xdr:cNvPr id="20838" name="Rectangle 5">
          <a:extLst>
            <a:ext uri="{FF2B5EF4-FFF2-40B4-BE49-F238E27FC236}">
              <a16:creationId xmlns:a16="http://schemas.microsoft.com/office/drawing/2014/main" id="{00000000-0008-0000-0800-000066510000}"/>
            </a:ext>
          </a:extLst>
        </xdr:cNvPr>
        <xdr:cNvSpPr>
          <a:spLocks noChangeArrowheads="1"/>
        </xdr:cNvSpPr>
      </xdr:nvSpPr>
      <xdr:spPr bwMode="auto">
        <a:xfrm>
          <a:off x="1962150" y="3181350"/>
          <a:ext cx="2838450" cy="514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9525</xdr:colOff>
      <xdr:row>19</xdr:row>
      <xdr:rowOff>9525</xdr:rowOff>
    </xdr:from>
    <xdr:to>
      <xdr:col>12</xdr:col>
      <xdr:colOff>619125</xdr:colOff>
      <xdr:row>22</xdr:row>
      <xdr:rowOff>9525</xdr:rowOff>
    </xdr:to>
    <xdr:sp macro="" textlink="">
      <xdr:nvSpPr>
        <xdr:cNvPr id="20839" name="Rectangle 8">
          <a:extLst>
            <a:ext uri="{FF2B5EF4-FFF2-40B4-BE49-F238E27FC236}">
              <a16:creationId xmlns:a16="http://schemas.microsoft.com/office/drawing/2014/main" id="{00000000-0008-0000-0800-000067510000}"/>
            </a:ext>
          </a:extLst>
        </xdr:cNvPr>
        <xdr:cNvSpPr>
          <a:spLocks noChangeArrowheads="1"/>
        </xdr:cNvSpPr>
      </xdr:nvSpPr>
      <xdr:spPr bwMode="auto">
        <a:xfrm>
          <a:off x="6610350" y="3190875"/>
          <a:ext cx="2590800" cy="504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447675</xdr:colOff>
      <xdr:row>2</xdr:row>
      <xdr:rowOff>123825</xdr:rowOff>
    </xdr:from>
    <xdr:to>
      <xdr:col>13</xdr:col>
      <xdr:colOff>419100</xdr:colOff>
      <xdr:row>11</xdr:row>
      <xdr:rowOff>0</xdr:rowOff>
    </xdr:to>
    <xdr:sp macro="" textlink="">
      <xdr:nvSpPr>
        <xdr:cNvPr id="20840" name="AutoShape 10">
          <a:extLst>
            <a:ext uri="{FF2B5EF4-FFF2-40B4-BE49-F238E27FC236}">
              <a16:creationId xmlns:a16="http://schemas.microsoft.com/office/drawing/2014/main" id="{00000000-0008-0000-0800-000068510000}"/>
            </a:ext>
          </a:extLst>
        </xdr:cNvPr>
        <xdr:cNvSpPr>
          <a:spLocks noChangeArrowheads="1"/>
        </xdr:cNvSpPr>
      </xdr:nvSpPr>
      <xdr:spPr bwMode="auto">
        <a:xfrm rot="10800000">
          <a:off x="9029700" y="447675"/>
          <a:ext cx="971550" cy="1409700"/>
        </a:xfrm>
        <a:custGeom>
          <a:avLst/>
          <a:gdLst>
            <a:gd name="T0" fmla="*/ 1719871012 w 21600"/>
            <a:gd name="T1" fmla="*/ 2147483647 h 21600"/>
            <a:gd name="T2" fmla="*/ 982783281 w 21600"/>
            <a:gd name="T3" fmla="*/ 2147483647 h 21600"/>
            <a:gd name="T4" fmla="*/ 245696360 w 21600"/>
            <a:gd name="T5" fmla="*/ 2147483647 h 21600"/>
            <a:gd name="T6" fmla="*/ 982783281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4500 w 21600"/>
            <a:gd name="T13" fmla="*/ 4500 h 21600"/>
            <a:gd name="T14" fmla="*/ 17100 w 21600"/>
            <a:gd name="T15" fmla="*/ 171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676275</xdr:colOff>
      <xdr:row>16</xdr:row>
      <xdr:rowOff>133350</xdr:rowOff>
    </xdr:from>
    <xdr:to>
      <xdr:col>13</xdr:col>
      <xdr:colOff>238125</xdr:colOff>
      <xdr:row>17</xdr:row>
      <xdr:rowOff>114300</xdr:rowOff>
    </xdr:to>
    <xdr:sp macro="" textlink="">
      <xdr:nvSpPr>
        <xdr:cNvPr id="20841" name="Line 14">
          <a:extLst>
            <a:ext uri="{FF2B5EF4-FFF2-40B4-BE49-F238E27FC236}">
              <a16:creationId xmlns:a16="http://schemas.microsoft.com/office/drawing/2014/main" id="{00000000-0008-0000-0800-000069510000}"/>
            </a:ext>
          </a:extLst>
        </xdr:cNvPr>
        <xdr:cNvSpPr>
          <a:spLocks noChangeShapeType="1"/>
        </xdr:cNvSpPr>
      </xdr:nvSpPr>
      <xdr:spPr bwMode="auto">
        <a:xfrm flipV="1">
          <a:off x="9258300" y="2800350"/>
          <a:ext cx="5619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914400</xdr:colOff>
      <xdr:row>16</xdr:row>
      <xdr:rowOff>152400</xdr:rowOff>
    </xdr:from>
    <xdr:to>
      <xdr:col>13</xdr:col>
      <xdr:colOff>0</xdr:colOff>
      <xdr:row>17</xdr:row>
      <xdr:rowOff>123825</xdr:rowOff>
    </xdr:to>
    <xdr:sp macro="" textlink="">
      <xdr:nvSpPr>
        <xdr:cNvPr id="20842" name="Oval 15">
          <a:extLst>
            <a:ext uri="{FF2B5EF4-FFF2-40B4-BE49-F238E27FC236}">
              <a16:creationId xmlns:a16="http://schemas.microsoft.com/office/drawing/2014/main" id="{00000000-0008-0000-0800-00006A510000}"/>
            </a:ext>
          </a:extLst>
        </xdr:cNvPr>
        <xdr:cNvSpPr>
          <a:spLocks noChangeArrowheads="1"/>
        </xdr:cNvSpPr>
      </xdr:nvSpPr>
      <xdr:spPr bwMode="auto">
        <a:xfrm>
          <a:off x="9496425" y="2819400"/>
          <a:ext cx="85725" cy="1333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542925</xdr:colOff>
      <xdr:row>32</xdr:row>
      <xdr:rowOff>0</xdr:rowOff>
    </xdr:from>
    <xdr:to>
      <xdr:col>10</xdr:col>
      <xdr:colOff>1085850</xdr:colOff>
      <xdr:row>32</xdr:row>
      <xdr:rowOff>0</xdr:rowOff>
    </xdr:to>
    <xdr:sp macro="" textlink="">
      <xdr:nvSpPr>
        <xdr:cNvPr id="20843" name="Line 19">
          <a:extLst>
            <a:ext uri="{FF2B5EF4-FFF2-40B4-BE49-F238E27FC236}">
              <a16:creationId xmlns:a16="http://schemas.microsoft.com/office/drawing/2014/main" id="{00000000-0008-0000-0800-00006B510000}"/>
            </a:ext>
          </a:extLst>
        </xdr:cNvPr>
        <xdr:cNvSpPr>
          <a:spLocks noChangeShapeType="1"/>
        </xdr:cNvSpPr>
      </xdr:nvSpPr>
      <xdr:spPr bwMode="auto">
        <a:xfrm>
          <a:off x="6162675" y="5457825"/>
          <a:ext cx="1524000" cy="0"/>
        </a:xfrm>
        <a:prstGeom prst="line">
          <a:avLst/>
        </a:prstGeom>
        <a:noFill/>
        <a:ln w="19050">
          <a:solidFill>
            <a:srgbClr val="FF99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161925</xdr:colOff>
      <xdr:row>19</xdr:row>
      <xdr:rowOff>85725</xdr:rowOff>
    </xdr:from>
    <xdr:to>
      <xdr:col>2</xdr:col>
      <xdr:colOff>685800</xdr:colOff>
      <xdr:row>21</xdr:row>
      <xdr:rowOff>85725</xdr:rowOff>
    </xdr:to>
    <xdr:sp macro="" textlink="">
      <xdr:nvSpPr>
        <xdr:cNvPr id="20844" name="AutoShape 30">
          <a:extLst>
            <a:ext uri="{FF2B5EF4-FFF2-40B4-BE49-F238E27FC236}">
              <a16:creationId xmlns:a16="http://schemas.microsoft.com/office/drawing/2014/main" id="{00000000-0008-0000-0800-00006C510000}"/>
            </a:ext>
          </a:extLst>
        </xdr:cNvPr>
        <xdr:cNvSpPr>
          <a:spLocks noChangeArrowheads="1"/>
        </xdr:cNvSpPr>
      </xdr:nvSpPr>
      <xdr:spPr bwMode="auto">
        <a:xfrm>
          <a:off x="1752600" y="3267075"/>
          <a:ext cx="523875" cy="333375"/>
        </a:xfrm>
        <a:prstGeom prst="rightArrow">
          <a:avLst>
            <a:gd name="adj1" fmla="val 50000"/>
            <a:gd name="adj2" fmla="val 39286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381000</xdr:colOff>
      <xdr:row>13</xdr:row>
      <xdr:rowOff>38100</xdr:rowOff>
    </xdr:from>
    <xdr:to>
      <xdr:col>3</xdr:col>
      <xdr:colOff>381000</xdr:colOff>
      <xdr:row>19</xdr:row>
      <xdr:rowOff>38100</xdr:rowOff>
    </xdr:to>
    <xdr:sp macro="" textlink="">
      <xdr:nvSpPr>
        <xdr:cNvPr id="20845" name="Line 31">
          <a:extLst>
            <a:ext uri="{FF2B5EF4-FFF2-40B4-BE49-F238E27FC236}">
              <a16:creationId xmlns:a16="http://schemas.microsoft.com/office/drawing/2014/main" id="{00000000-0008-0000-0800-00006D510000}"/>
            </a:ext>
          </a:extLst>
        </xdr:cNvPr>
        <xdr:cNvSpPr>
          <a:spLocks noChangeShapeType="1"/>
        </xdr:cNvSpPr>
      </xdr:nvSpPr>
      <xdr:spPr bwMode="auto">
        <a:xfrm>
          <a:off x="2733675" y="2219325"/>
          <a:ext cx="0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561975</xdr:colOff>
      <xdr:row>23</xdr:row>
      <xdr:rowOff>38100</xdr:rowOff>
    </xdr:from>
    <xdr:to>
      <xdr:col>8</xdr:col>
      <xdr:colOff>561975</xdr:colOff>
      <xdr:row>30</xdr:row>
      <xdr:rowOff>66675</xdr:rowOff>
    </xdr:to>
    <xdr:sp macro="" textlink="">
      <xdr:nvSpPr>
        <xdr:cNvPr id="20846" name="Line 36">
          <a:extLst>
            <a:ext uri="{FF2B5EF4-FFF2-40B4-BE49-F238E27FC236}">
              <a16:creationId xmlns:a16="http://schemas.microsoft.com/office/drawing/2014/main" id="{00000000-0008-0000-0800-00006E510000}"/>
            </a:ext>
          </a:extLst>
        </xdr:cNvPr>
        <xdr:cNvSpPr>
          <a:spLocks noChangeShapeType="1"/>
        </xdr:cNvSpPr>
      </xdr:nvSpPr>
      <xdr:spPr bwMode="auto">
        <a:xfrm>
          <a:off x="5362575" y="3905250"/>
          <a:ext cx="0" cy="1295400"/>
        </a:xfrm>
        <a:prstGeom prst="line">
          <a:avLst/>
        </a:prstGeom>
        <a:noFill/>
        <a:ln w="19050">
          <a:solidFill>
            <a:srgbClr val="0000FF"/>
          </a:solidFill>
          <a:round/>
          <a:headEnd type="triangle" w="med" len="med"/>
          <a:tailEnd type="oval" w="med" len="med"/>
        </a:ln>
      </xdr:spPr>
    </xdr:sp>
    <xdr:clientData/>
  </xdr:twoCellAnchor>
  <xdr:twoCellAnchor>
    <xdr:from>
      <xdr:col>7</xdr:col>
      <xdr:colOff>0</xdr:colOff>
      <xdr:row>22</xdr:row>
      <xdr:rowOff>9525</xdr:rowOff>
    </xdr:from>
    <xdr:to>
      <xdr:col>7</xdr:col>
      <xdr:colOff>0</xdr:colOff>
      <xdr:row>24</xdr:row>
      <xdr:rowOff>0</xdr:rowOff>
    </xdr:to>
    <xdr:sp macro="" textlink="">
      <xdr:nvSpPr>
        <xdr:cNvPr id="20847" name="Line 39">
          <a:extLst>
            <a:ext uri="{FF2B5EF4-FFF2-40B4-BE49-F238E27FC236}">
              <a16:creationId xmlns:a16="http://schemas.microsoft.com/office/drawing/2014/main" id="{00000000-0008-0000-0800-00006F510000}"/>
            </a:ext>
          </a:extLst>
        </xdr:cNvPr>
        <xdr:cNvSpPr>
          <a:spLocks noChangeShapeType="1"/>
        </xdr:cNvSpPr>
      </xdr:nvSpPr>
      <xdr:spPr bwMode="auto">
        <a:xfrm>
          <a:off x="3876675" y="369570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552450</xdr:colOff>
      <xdr:row>23</xdr:row>
      <xdr:rowOff>19050</xdr:rowOff>
    </xdr:from>
    <xdr:to>
      <xdr:col>9</xdr:col>
      <xdr:colOff>552450</xdr:colOff>
      <xdr:row>31</xdr:row>
      <xdr:rowOff>152400</xdr:rowOff>
    </xdr:to>
    <xdr:sp macro="" textlink="">
      <xdr:nvSpPr>
        <xdr:cNvPr id="20848" name="Line 42">
          <a:extLst>
            <a:ext uri="{FF2B5EF4-FFF2-40B4-BE49-F238E27FC236}">
              <a16:creationId xmlns:a16="http://schemas.microsoft.com/office/drawing/2014/main" id="{00000000-0008-0000-0800-000070510000}"/>
            </a:ext>
          </a:extLst>
        </xdr:cNvPr>
        <xdr:cNvSpPr>
          <a:spLocks noChangeShapeType="1"/>
        </xdr:cNvSpPr>
      </xdr:nvSpPr>
      <xdr:spPr bwMode="auto">
        <a:xfrm flipV="1">
          <a:off x="6172200" y="3886200"/>
          <a:ext cx="0" cy="1562100"/>
        </a:xfrm>
        <a:prstGeom prst="line">
          <a:avLst/>
        </a:prstGeom>
        <a:noFill/>
        <a:ln w="19050">
          <a:solidFill>
            <a:srgbClr val="FF9900"/>
          </a:solidFill>
          <a:round/>
          <a:headEnd type="oval" w="med" len="med"/>
          <a:tailEnd/>
        </a:ln>
      </xdr:spPr>
    </xdr:sp>
    <xdr:clientData/>
  </xdr:twoCellAnchor>
  <xdr:twoCellAnchor>
    <xdr:from>
      <xdr:col>11</xdr:col>
      <xdr:colOff>0</xdr:colOff>
      <xdr:row>22</xdr:row>
      <xdr:rowOff>28575</xdr:rowOff>
    </xdr:from>
    <xdr:to>
      <xdr:col>11</xdr:col>
      <xdr:colOff>0</xdr:colOff>
      <xdr:row>24</xdr:row>
      <xdr:rowOff>19050</xdr:rowOff>
    </xdr:to>
    <xdr:sp macro="" textlink="">
      <xdr:nvSpPr>
        <xdr:cNvPr id="20849" name="Line 43">
          <a:extLst>
            <a:ext uri="{FF2B5EF4-FFF2-40B4-BE49-F238E27FC236}">
              <a16:creationId xmlns:a16="http://schemas.microsoft.com/office/drawing/2014/main" id="{00000000-0008-0000-0800-000071510000}"/>
            </a:ext>
          </a:extLst>
        </xdr:cNvPr>
        <xdr:cNvSpPr>
          <a:spLocks noChangeShapeType="1"/>
        </xdr:cNvSpPr>
      </xdr:nvSpPr>
      <xdr:spPr bwMode="auto">
        <a:xfrm>
          <a:off x="7715250" y="371475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619125</xdr:colOff>
      <xdr:row>12</xdr:row>
      <xdr:rowOff>133350</xdr:rowOff>
    </xdr:from>
    <xdr:to>
      <xdr:col>13</xdr:col>
      <xdr:colOff>276225</xdr:colOff>
      <xdr:row>15</xdr:row>
      <xdr:rowOff>19050</xdr:rowOff>
    </xdr:to>
    <xdr:sp macro="" textlink="">
      <xdr:nvSpPr>
        <xdr:cNvPr id="20850" name="Oval 44">
          <a:extLst>
            <a:ext uri="{FF2B5EF4-FFF2-40B4-BE49-F238E27FC236}">
              <a16:creationId xmlns:a16="http://schemas.microsoft.com/office/drawing/2014/main" id="{00000000-0008-0000-0800-000072510000}"/>
            </a:ext>
          </a:extLst>
        </xdr:cNvPr>
        <xdr:cNvSpPr>
          <a:spLocks noChangeArrowheads="1"/>
        </xdr:cNvSpPr>
      </xdr:nvSpPr>
      <xdr:spPr bwMode="auto">
        <a:xfrm>
          <a:off x="9201150" y="2152650"/>
          <a:ext cx="657225" cy="3714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733425</xdr:colOff>
      <xdr:row>12</xdr:row>
      <xdr:rowOff>152400</xdr:rowOff>
    </xdr:from>
    <xdr:to>
      <xdr:col>13</xdr:col>
      <xdr:colOff>161925</xdr:colOff>
      <xdr:row>14</xdr:row>
      <xdr:rowOff>123825</xdr:rowOff>
    </xdr:to>
    <xdr:sp macro="" textlink="">
      <xdr:nvSpPr>
        <xdr:cNvPr id="20851" name="AutoShape 45">
          <a:extLst>
            <a:ext uri="{FF2B5EF4-FFF2-40B4-BE49-F238E27FC236}">
              <a16:creationId xmlns:a16="http://schemas.microsoft.com/office/drawing/2014/main" id="{00000000-0008-0000-0800-000073510000}"/>
            </a:ext>
          </a:extLst>
        </xdr:cNvPr>
        <xdr:cNvSpPr>
          <a:spLocks noChangeArrowheads="1"/>
        </xdr:cNvSpPr>
      </xdr:nvSpPr>
      <xdr:spPr bwMode="auto">
        <a:xfrm>
          <a:off x="9315450" y="2171700"/>
          <a:ext cx="428625" cy="295275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276225</xdr:colOff>
      <xdr:row>21</xdr:row>
      <xdr:rowOff>9525</xdr:rowOff>
    </xdr:from>
    <xdr:to>
      <xdr:col>13</xdr:col>
      <xdr:colOff>752475</xdr:colOff>
      <xdr:row>21</xdr:row>
      <xdr:rowOff>9525</xdr:rowOff>
    </xdr:to>
    <xdr:sp macro="" textlink="">
      <xdr:nvSpPr>
        <xdr:cNvPr id="20852" name="Line 46">
          <a:extLst>
            <a:ext uri="{FF2B5EF4-FFF2-40B4-BE49-F238E27FC236}">
              <a16:creationId xmlns:a16="http://schemas.microsoft.com/office/drawing/2014/main" id="{00000000-0008-0000-0800-000074510000}"/>
            </a:ext>
          </a:extLst>
        </xdr:cNvPr>
        <xdr:cNvSpPr>
          <a:spLocks noChangeShapeType="1"/>
        </xdr:cNvSpPr>
      </xdr:nvSpPr>
      <xdr:spPr bwMode="auto">
        <a:xfrm>
          <a:off x="9858375" y="3524250"/>
          <a:ext cx="476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19050</xdr:colOff>
      <xdr:row>13</xdr:row>
      <xdr:rowOff>152400</xdr:rowOff>
    </xdr:from>
    <xdr:to>
      <xdr:col>12</xdr:col>
      <xdr:colOff>600075</xdr:colOff>
      <xdr:row>13</xdr:row>
      <xdr:rowOff>152400</xdr:rowOff>
    </xdr:to>
    <xdr:sp macro="" textlink="">
      <xdr:nvSpPr>
        <xdr:cNvPr id="20853" name="Line 47">
          <a:extLst>
            <a:ext uri="{FF2B5EF4-FFF2-40B4-BE49-F238E27FC236}">
              <a16:creationId xmlns:a16="http://schemas.microsoft.com/office/drawing/2014/main" id="{00000000-0008-0000-0800-000075510000}"/>
            </a:ext>
          </a:extLst>
        </xdr:cNvPr>
        <xdr:cNvSpPr>
          <a:spLocks noChangeShapeType="1"/>
        </xdr:cNvSpPr>
      </xdr:nvSpPr>
      <xdr:spPr bwMode="auto">
        <a:xfrm>
          <a:off x="8601075" y="233362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</xdr:colOff>
      <xdr:row>21</xdr:row>
      <xdr:rowOff>9525</xdr:rowOff>
    </xdr:from>
    <xdr:to>
      <xdr:col>14</xdr:col>
      <xdr:colOff>9525</xdr:colOff>
      <xdr:row>22</xdr:row>
      <xdr:rowOff>0</xdr:rowOff>
    </xdr:to>
    <xdr:sp macro="" textlink="">
      <xdr:nvSpPr>
        <xdr:cNvPr id="20854" name="Line 48">
          <a:extLst>
            <a:ext uri="{FF2B5EF4-FFF2-40B4-BE49-F238E27FC236}">
              <a16:creationId xmlns:a16="http://schemas.microsoft.com/office/drawing/2014/main" id="{00000000-0008-0000-0800-000076510000}"/>
            </a:ext>
          </a:extLst>
        </xdr:cNvPr>
        <xdr:cNvSpPr>
          <a:spLocks noChangeShapeType="1"/>
        </xdr:cNvSpPr>
      </xdr:nvSpPr>
      <xdr:spPr bwMode="auto">
        <a:xfrm>
          <a:off x="10353675" y="35242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552450</xdr:colOff>
      <xdr:row>30</xdr:row>
      <xdr:rowOff>57150</xdr:rowOff>
    </xdr:from>
    <xdr:to>
      <xdr:col>8</xdr:col>
      <xdr:colOff>561975</xdr:colOff>
      <xdr:row>49</xdr:row>
      <xdr:rowOff>76200</xdr:rowOff>
    </xdr:to>
    <xdr:sp macro="" textlink="">
      <xdr:nvSpPr>
        <xdr:cNvPr id="20855" name="Line 57">
          <a:extLst>
            <a:ext uri="{FF2B5EF4-FFF2-40B4-BE49-F238E27FC236}">
              <a16:creationId xmlns:a16="http://schemas.microsoft.com/office/drawing/2014/main" id="{00000000-0008-0000-0800-000077510000}"/>
            </a:ext>
          </a:extLst>
        </xdr:cNvPr>
        <xdr:cNvSpPr>
          <a:spLocks noChangeShapeType="1"/>
        </xdr:cNvSpPr>
      </xdr:nvSpPr>
      <xdr:spPr bwMode="auto">
        <a:xfrm flipH="1">
          <a:off x="5353050" y="5191125"/>
          <a:ext cx="9525" cy="3095625"/>
        </a:xfrm>
        <a:prstGeom prst="line">
          <a:avLst/>
        </a:prstGeom>
        <a:noFill/>
        <a:ln w="19050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10</xdr:col>
      <xdr:colOff>647700</xdr:colOff>
      <xdr:row>37</xdr:row>
      <xdr:rowOff>152400</xdr:rowOff>
    </xdr:from>
    <xdr:to>
      <xdr:col>11</xdr:col>
      <xdr:colOff>390525</xdr:colOff>
      <xdr:row>37</xdr:row>
      <xdr:rowOff>152400</xdr:rowOff>
    </xdr:to>
    <xdr:sp macro="" textlink="">
      <xdr:nvSpPr>
        <xdr:cNvPr id="20856" name="Line 59">
          <a:extLst>
            <a:ext uri="{FF2B5EF4-FFF2-40B4-BE49-F238E27FC236}">
              <a16:creationId xmlns:a16="http://schemas.microsoft.com/office/drawing/2014/main" id="{00000000-0008-0000-0800-000078510000}"/>
            </a:ext>
          </a:extLst>
        </xdr:cNvPr>
        <xdr:cNvSpPr>
          <a:spLocks noChangeShapeType="1"/>
        </xdr:cNvSpPr>
      </xdr:nvSpPr>
      <xdr:spPr bwMode="auto">
        <a:xfrm flipH="1">
          <a:off x="7248525" y="6419850"/>
          <a:ext cx="857250" cy="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10</xdr:col>
      <xdr:colOff>666750</xdr:colOff>
      <xdr:row>37</xdr:row>
      <xdr:rowOff>152400</xdr:rowOff>
    </xdr:from>
    <xdr:to>
      <xdr:col>10</xdr:col>
      <xdr:colOff>666750</xdr:colOff>
      <xdr:row>39</xdr:row>
      <xdr:rowOff>9525</xdr:rowOff>
    </xdr:to>
    <xdr:sp macro="" textlink="">
      <xdr:nvSpPr>
        <xdr:cNvPr id="20857" name="Line 60">
          <a:extLst>
            <a:ext uri="{FF2B5EF4-FFF2-40B4-BE49-F238E27FC236}">
              <a16:creationId xmlns:a16="http://schemas.microsoft.com/office/drawing/2014/main" id="{00000000-0008-0000-0800-000079510000}"/>
            </a:ext>
          </a:extLst>
        </xdr:cNvPr>
        <xdr:cNvSpPr>
          <a:spLocks noChangeShapeType="1"/>
        </xdr:cNvSpPr>
      </xdr:nvSpPr>
      <xdr:spPr bwMode="auto">
        <a:xfrm>
          <a:off x="7267575" y="6419850"/>
          <a:ext cx="0" cy="180975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381000</xdr:colOff>
      <xdr:row>37</xdr:row>
      <xdr:rowOff>152400</xdr:rowOff>
    </xdr:from>
    <xdr:to>
      <xdr:col>12</xdr:col>
      <xdr:colOff>685800</xdr:colOff>
      <xdr:row>37</xdr:row>
      <xdr:rowOff>152400</xdr:rowOff>
    </xdr:to>
    <xdr:sp macro="" textlink="">
      <xdr:nvSpPr>
        <xdr:cNvPr id="20858" name="Line 61">
          <a:extLst>
            <a:ext uri="{FF2B5EF4-FFF2-40B4-BE49-F238E27FC236}">
              <a16:creationId xmlns:a16="http://schemas.microsoft.com/office/drawing/2014/main" id="{00000000-0008-0000-0800-00007A510000}"/>
            </a:ext>
          </a:extLst>
        </xdr:cNvPr>
        <xdr:cNvSpPr>
          <a:spLocks noChangeShapeType="1"/>
        </xdr:cNvSpPr>
      </xdr:nvSpPr>
      <xdr:spPr bwMode="auto">
        <a:xfrm>
          <a:off x="8096250" y="6419850"/>
          <a:ext cx="1171575" cy="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12</xdr:col>
      <xdr:colOff>695325</xdr:colOff>
      <xdr:row>37</xdr:row>
      <xdr:rowOff>142875</xdr:rowOff>
    </xdr:from>
    <xdr:to>
      <xdr:col>12</xdr:col>
      <xdr:colOff>704850</xdr:colOff>
      <xdr:row>39</xdr:row>
      <xdr:rowOff>0</xdr:rowOff>
    </xdr:to>
    <xdr:sp macro="" textlink="">
      <xdr:nvSpPr>
        <xdr:cNvPr id="20859" name="Line 62">
          <a:extLst>
            <a:ext uri="{FF2B5EF4-FFF2-40B4-BE49-F238E27FC236}">
              <a16:creationId xmlns:a16="http://schemas.microsoft.com/office/drawing/2014/main" id="{00000000-0008-0000-0800-00007B510000}"/>
            </a:ext>
          </a:extLst>
        </xdr:cNvPr>
        <xdr:cNvSpPr>
          <a:spLocks noChangeShapeType="1"/>
        </xdr:cNvSpPr>
      </xdr:nvSpPr>
      <xdr:spPr bwMode="auto">
        <a:xfrm>
          <a:off x="9277350" y="6410325"/>
          <a:ext cx="9525" cy="180975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628650</xdr:colOff>
      <xdr:row>37</xdr:row>
      <xdr:rowOff>9525</xdr:rowOff>
    </xdr:from>
    <xdr:to>
      <xdr:col>11</xdr:col>
      <xdr:colOff>628650</xdr:colOff>
      <xdr:row>37</xdr:row>
      <xdr:rowOff>142875</xdr:rowOff>
    </xdr:to>
    <xdr:sp macro="" textlink="">
      <xdr:nvSpPr>
        <xdr:cNvPr id="20860" name="Line 63">
          <a:extLst>
            <a:ext uri="{FF2B5EF4-FFF2-40B4-BE49-F238E27FC236}">
              <a16:creationId xmlns:a16="http://schemas.microsoft.com/office/drawing/2014/main" id="{00000000-0008-0000-0800-00007C510000}"/>
            </a:ext>
          </a:extLst>
        </xdr:cNvPr>
        <xdr:cNvSpPr>
          <a:spLocks noChangeShapeType="1"/>
        </xdr:cNvSpPr>
      </xdr:nvSpPr>
      <xdr:spPr bwMode="auto">
        <a:xfrm flipH="1" flipV="1">
          <a:off x="8343900" y="6276975"/>
          <a:ext cx="0" cy="133350"/>
        </a:xfrm>
        <a:prstGeom prst="line">
          <a:avLst/>
        </a:prstGeom>
        <a:noFill/>
        <a:ln w="19050">
          <a:solidFill>
            <a:srgbClr val="FF0000"/>
          </a:solidFill>
          <a:round/>
          <a:headEnd type="oval" w="med" len="med"/>
          <a:tailEnd/>
        </a:ln>
      </xdr:spPr>
    </xdr:sp>
    <xdr:clientData/>
  </xdr:twoCellAnchor>
  <xdr:twoCellAnchor>
    <xdr:from>
      <xdr:col>8</xdr:col>
      <xdr:colOff>561975</xdr:colOff>
      <xdr:row>49</xdr:row>
      <xdr:rowOff>95250</xdr:rowOff>
    </xdr:from>
    <xdr:to>
      <xdr:col>12</xdr:col>
      <xdr:colOff>971550</xdr:colOff>
      <xdr:row>49</xdr:row>
      <xdr:rowOff>95250</xdr:rowOff>
    </xdr:to>
    <xdr:sp macro="" textlink="">
      <xdr:nvSpPr>
        <xdr:cNvPr id="20861" name="Line 66">
          <a:extLst>
            <a:ext uri="{FF2B5EF4-FFF2-40B4-BE49-F238E27FC236}">
              <a16:creationId xmlns:a16="http://schemas.microsoft.com/office/drawing/2014/main" id="{00000000-0008-0000-0800-00007D510000}"/>
            </a:ext>
          </a:extLst>
        </xdr:cNvPr>
        <xdr:cNvSpPr>
          <a:spLocks noChangeShapeType="1"/>
        </xdr:cNvSpPr>
      </xdr:nvSpPr>
      <xdr:spPr bwMode="auto">
        <a:xfrm>
          <a:off x="5362575" y="8305800"/>
          <a:ext cx="4191000" cy="0"/>
        </a:xfrm>
        <a:prstGeom prst="line">
          <a:avLst/>
        </a:prstGeom>
        <a:noFill/>
        <a:ln w="19050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10</xdr:col>
      <xdr:colOff>104775</xdr:colOff>
      <xdr:row>48</xdr:row>
      <xdr:rowOff>0</xdr:rowOff>
    </xdr:from>
    <xdr:to>
      <xdr:col>10</xdr:col>
      <xdr:colOff>104775</xdr:colOff>
      <xdr:row>49</xdr:row>
      <xdr:rowOff>95250</xdr:rowOff>
    </xdr:to>
    <xdr:sp macro="" textlink="">
      <xdr:nvSpPr>
        <xdr:cNvPr id="20862" name="Line 67">
          <a:extLst>
            <a:ext uri="{FF2B5EF4-FFF2-40B4-BE49-F238E27FC236}">
              <a16:creationId xmlns:a16="http://schemas.microsoft.com/office/drawing/2014/main" id="{00000000-0008-0000-0800-00007E510000}"/>
            </a:ext>
          </a:extLst>
        </xdr:cNvPr>
        <xdr:cNvSpPr>
          <a:spLocks noChangeShapeType="1"/>
        </xdr:cNvSpPr>
      </xdr:nvSpPr>
      <xdr:spPr bwMode="auto">
        <a:xfrm>
          <a:off x="6705600" y="8048625"/>
          <a:ext cx="0" cy="257175"/>
        </a:xfrm>
        <a:prstGeom prst="line">
          <a:avLst/>
        </a:prstGeom>
        <a:noFill/>
        <a:ln w="19050">
          <a:solidFill>
            <a:srgbClr val="0000FF"/>
          </a:solidFill>
          <a:round/>
          <a:headEnd/>
          <a:tailEnd type="oval" w="med" len="med"/>
        </a:ln>
      </xdr:spPr>
    </xdr:sp>
    <xdr:clientData/>
  </xdr:twoCellAnchor>
  <xdr:twoCellAnchor>
    <xdr:from>
      <xdr:col>12</xdr:col>
      <xdr:colOff>933450</xdr:colOff>
      <xdr:row>44</xdr:row>
      <xdr:rowOff>9525</xdr:rowOff>
    </xdr:from>
    <xdr:to>
      <xdr:col>12</xdr:col>
      <xdr:colOff>933450</xdr:colOff>
      <xdr:row>49</xdr:row>
      <xdr:rowOff>95250</xdr:rowOff>
    </xdr:to>
    <xdr:sp macro="" textlink="">
      <xdr:nvSpPr>
        <xdr:cNvPr id="20863" name="Line 68">
          <a:extLst>
            <a:ext uri="{FF2B5EF4-FFF2-40B4-BE49-F238E27FC236}">
              <a16:creationId xmlns:a16="http://schemas.microsoft.com/office/drawing/2014/main" id="{00000000-0008-0000-0800-00007F510000}"/>
            </a:ext>
          </a:extLst>
        </xdr:cNvPr>
        <xdr:cNvSpPr>
          <a:spLocks noChangeShapeType="1"/>
        </xdr:cNvSpPr>
      </xdr:nvSpPr>
      <xdr:spPr bwMode="auto">
        <a:xfrm>
          <a:off x="9515475" y="7410450"/>
          <a:ext cx="0" cy="895350"/>
        </a:xfrm>
        <a:prstGeom prst="line">
          <a:avLst/>
        </a:prstGeom>
        <a:noFill/>
        <a:ln w="19050">
          <a:solidFill>
            <a:srgbClr val="0000FF"/>
          </a:solidFill>
          <a:round/>
          <a:headEnd/>
          <a:tailEnd type="oval" w="med" len="med"/>
        </a:ln>
      </xdr:spPr>
    </xdr:sp>
    <xdr:clientData/>
  </xdr:twoCellAnchor>
  <xdr:twoCellAnchor>
    <xdr:from>
      <xdr:col>25</xdr:col>
      <xdr:colOff>0</xdr:colOff>
      <xdr:row>33</xdr:row>
      <xdr:rowOff>0</xdr:rowOff>
    </xdr:from>
    <xdr:to>
      <xdr:col>34</xdr:col>
      <xdr:colOff>447675</xdr:colOff>
      <xdr:row>57</xdr:row>
      <xdr:rowOff>104775</xdr:rowOff>
    </xdr:to>
    <xdr:graphicFrame macro="">
      <xdr:nvGraphicFramePr>
        <xdr:cNvPr id="20864" name="Chart 70">
          <a:extLst>
            <a:ext uri="{FF2B5EF4-FFF2-40B4-BE49-F238E27FC236}">
              <a16:creationId xmlns:a16="http://schemas.microsoft.com/office/drawing/2014/main" id="{00000000-0008-0000-0800-0000805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0</xdr:row>
      <xdr:rowOff>95250</xdr:rowOff>
    </xdr:from>
    <xdr:to>
      <xdr:col>9</xdr:col>
      <xdr:colOff>371475</xdr:colOff>
      <xdr:row>5</xdr:row>
      <xdr:rowOff>0</xdr:rowOff>
    </xdr:to>
    <xdr:pic>
      <xdr:nvPicPr>
        <xdr:cNvPr id="20865" name="Picture 80">
          <a:extLst>
            <a:ext uri="{FF2B5EF4-FFF2-40B4-BE49-F238E27FC236}">
              <a16:creationId xmlns:a16="http://schemas.microsoft.com/office/drawing/2014/main" id="{00000000-0008-0000-0800-0000815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91000" y="95250"/>
          <a:ext cx="1800225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19</xdr:row>
          <xdr:rowOff>114300</xdr:rowOff>
        </xdr:from>
        <xdr:to>
          <xdr:col>7</xdr:col>
          <xdr:colOff>333375</xdr:colOff>
          <xdr:row>21</xdr:row>
          <xdr:rowOff>38100</xdr:rowOff>
        </xdr:to>
        <xdr:sp macro="" textlink="">
          <xdr:nvSpPr>
            <xdr:cNvPr id="20532" name="CommandButton1" hidden="1">
              <a:extLst>
                <a:ext uri="{63B3BB69-23CF-44E3-9099-C40C66FF867C}">
                  <a14:compatExt spid="_x0000_s20532"/>
                </a:ext>
                <a:ext uri="{FF2B5EF4-FFF2-40B4-BE49-F238E27FC236}">
                  <a16:creationId xmlns:a16="http://schemas.microsoft.com/office/drawing/2014/main" id="{00000000-0008-0000-1500-00003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4</xdr:col>
      <xdr:colOff>142875</xdr:colOff>
      <xdr:row>0</xdr:row>
      <xdr:rowOff>723900</xdr:rowOff>
    </xdr:to>
    <xdr:pic>
      <xdr:nvPicPr>
        <xdr:cNvPr id="11265" name="Picture 1">
          <a:extLst>
            <a:ext uri="{FF2B5EF4-FFF2-40B4-BE49-F238E27FC236}">
              <a16:creationId xmlns:a16="http://schemas.microsoft.com/office/drawing/2014/main" id="{00000000-0008-0000-0A00-000001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0" y="0"/>
          <a:ext cx="16668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63500" dir="3187806" algn="ctr" rotWithShape="0">
            <a:srgbClr val="808080">
              <a:alpha val="50000"/>
            </a:srgb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5</xdr:col>
      <xdr:colOff>9525</xdr:colOff>
      <xdr:row>0</xdr:row>
      <xdr:rowOff>723900</xdr:rowOff>
    </xdr:to>
    <xdr:pic>
      <xdr:nvPicPr>
        <xdr:cNvPr id="7169" name="Picture 1">
          <a:extLst>
            <a:ext uri="{FF2B5EF4-FFF2-40B4-BE49-F238E27FC236}">
              <a16:creationId xmlns:a16="http://schemas.microsoft.com/office/drawing/2014/main" id="{00000000-0008-0000-0B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0" y="0"/>
          <a:ext cx="1533525" cy="7239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63500" dir="3187806" algn="ctr" rotWithShape="0">
            <a:srgbClr val="808080">
              <a:alpha val="50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5</xdr:col>
      <xdr:colOff>9525</xdr:colOff>
      <xdr:row>0</xdr:row>
      <xdr:rowOff>723900</xdr:rowOff>
    </xdr:to>
    <xdr:pic>
      <xdr:nvPicPr>
        <xdr:cNvPr id="8193" name="Picture 1">
          <a:extLst>
            <a:ext uri="{FF2B5EF4-FFF2-40B4-BE49-F238E27FC236}">
              <a16:creationId xmlns:a16="http://schemas.microsoft.com/office/drawing/2014/main" id="{00000000-0008-0000-0C00-00000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0" y="0"/>
          <a:ext cx="1533525" cy="7239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63500" dir="3187806" algn="ctr" rotWithShape="0">
            <a:srgbClr val="808080">
              <a:alpha val="50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5</xdr:col>
      <xdr:colOff>9525</xdr:colOff>
      <xdr:row>0</xdr:row>
      <xdr:rowOff>723900</xdr:rowOff>
    </xdr:to>
    <xdr:pic>
      <xdr:nvPicPr>
        <xdr:cNvPr id="9217" name="Picture 1">
          <a:extLst>
            <a:ext uri="{FF2B5EF4-FFF2-40B4-BE49-F238E27FC236}">
              <a16:creationId xmlns:a16="http://schemas.microsoft.com/office/drawing/2014/main" id="{00000000-0008-0000-0D00-00000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0" y="0"/>
          <a:ext cx="1533525" cy="7239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63500" dir="3187806" algn="ctr" rotWithShape="0">
            <a:srgbClr val="808080">
              <a:alpha val="50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Documents%20and%20Settings/pdubois/Mes%20documents/contrat/borcelick/Recalage%20blowstab%20BORCELIK%20CGL2-35420.xls" TargetMode="External"/><Relationship Id="rId1" Type="http://schemas.openxmlformats.org/officeDocument/2006/relationships/externalLinkPath" Target="/Documents%20and%20Settings/pdubois/Mes%20documents/contrat/borcelick/Recalage%20blowstab%20BORCELIK%20CGL2-354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relevé temp"/>
      <sheetName val="100%"/>
      <sheetName val="90%"/>
      <sheetName val="80%"/>
      <sheetName val="70%"/>
      <sheetName val="60%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T13">
            <v>0</v>
          </cell>
        </row>
        <row r="14">
          <cell r="S14">
            <v>0</v>
          </cell>
          <cell r="T14">
            <v>1.1000000000000001</v>
          </cell>
        </row>
        <row r="15">
          <cell r="S15">
            <v>1.1000000000000001</v>
          </cell>
          <cell r="T15">
            <v>1.5</v>
          </cell>
        </row>
        <row r="16">
          <cell r="S16">
            <v>1.5</v>
          </cell>
          <cell r="T16">
            <v>2.2000000000000002</v>
          </cell>
        </row>
        <row r="17">
          <cell r="S17">
            <v>2.2000000000000002</v>
          </cell>
          <cell r="T17">
            <v>3</v>
          </cell>
        </row>
        <row r="18">
          <cell r="S18">
            <v>3</v>
          </cell>
          <cell r="T18">
            <v>4</v>
          </cell>
        </row>
        <row r="19">
          <cell r="S19">
            <v>4</v>
          </cell>
          <cell r="T19">
            <v>5.5</v>
          </cell>
        </row>
        <row r="20">
          <cell r="S20">
            <v>5.5</v>
          </cell>
          <cell r="T20">
            <v>7.5</v>
          </cell>
        </row>
        <row r="21">
          <cell r="S21">
            <v>7.5</v>
          </cell>
          <cell r="T21">
            <v>11</v>
          </cell>
        </row>
        <row r="22">
          <cell r="S22">
            <v>11</v>
          </cell>
          <cell r="T22">
            <v>15</v>
          </cell>
        </row>
        <row r="23">
          <cell r="S23">
            <v>15</v>
          </cell>
          <cell r="T23">
            <v>18.5</v>
          </cell>
        </row>
        <row r="24">
          <cell r="S24">
            <v>18.5</v>
          </cell>
          <cell r="T24">
            <v>22</v>
          </cell>
        </row>
        <row r="25">
          <cell r="S25">
            <v>22</v>
          </cell>
          <cell r="T25">
            <v>25</v>
          </cell>
        </row>
        <row r="26">
          <cell r="S26">
            <v>25</v>
          </cell>
          <cell r="T26">
            <v>30</v>
          </cell>
        </row>
        <row r="27">
          <cell r="S27">
            <v>30</v>
          </cell>
          <cell r="T27">
            <v>37</v>
          </cell>
        </row>
        <row r="28">
          <cell r="S28">
            <v>37</v>
          </cell>
          <cell r="T28">
            <v>45</v>
          </cell>
        </row>
        <row r="29">
          <cell r="S29">
            <v>45</v>
          </cell>
          <cell r="T29">
            <v>55</v>
          </cell>
        </row>
        <row r="30">
          <cell r="S30">
            <v>55</v>
          </cell>
          <cell r="T30">
            <v>75</v>
          </cell>
        </row>
        <row r="31">
          <cell r="S31">
            <v>75</v>
          </cell>
          <cell r="T31">
            <v>90</v>
          </cell>
        </row>
        <row r="32">
          <cell r="S32">
            <v>90</v>
          </cell>
          <cell r="T32">
            <v>110</v>
          </cell>
        </row>
        <row r="33">
          <cell r="S33">
            <v>110</v>
          </cell>
          <cell r="T33">
            <v>132</v>
          </cell>
        </row>
        <row r="34">
          <cell r="S34">
            <v>132</v>
          </cell>
          <cell r="T34">
            <v>160</v>
          </cell>
        </row>
        <row r="35">
          <cell r="S35">
            <v>160</v>
          </cell>
          <cell r="T35">
            <v>200</v>
          </cell>
        </row>
        <row r="36">
          <cell r="S36">
            <v>200</v>
          </cell>
          <cell r="T36">
            <v>250</v>
          </cell>
        </row>
        <row r="37">
          <cell r="S37">
            <v>250</v>
          </cell>
          <cell r="T37">
            <v>290</v>
          </cell>
        </row>
        <row r="38">
          <cell r="S38">
            <v>290</v>
          </cell>
          <cell r="T38">
            <v>315</v>
          </cell>
        </row>
        <row r="39">
          <cell r="S39">
            <v>315</v>
          </cell>
          <cell r="T39">
            <v>355</v>
          </cell>
        </row>
        <row r="40">
          <cell r="S40">
            <v>355</v>
          </cell>
          <cell r="T40">
            <v>400</v>
          </cell>
        </row>
        <row r="41">
          <cell r="S41">
            <v>400</v>
          </cell>
          <cell r="T41">
            <v>450</v>
          </cell>
        </row>
        <row r="42">
          <cell r="S42">
            <v>450</v>
          </cell>
          <cell r="T42">
            <v>530</v>
          </cell>
        </row>
        <row r="43">
          <cell r="S43">
            <v>530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905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905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mments" Target="../comments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3"/>
  <dimension ref="A1:A6"/>
  <sheetViews>
    <sheetView workbookViewId="0">
      <selection activeCell="B9" sqref="B9"/>
    </sheetView>
  </sheetViews>
  <sheetFormatPr baseColWidth="10" defaultRowHeight="12.75" x14ac:dyDescent="0.2"/>
  <cols>
    <col min="1" max="1" width="15.28515625" bestFit="1" customWidth="1"/>
  </cols>
  <sheetData>
    <row r="1" spans="1:1" x14ac:dyDescent="0.2">
      <c r="A1" s="172">
        <f ca="1">NOW()</f>
        <v>46114.663629282404</v>
      </c>
    </row>
    <row r="2" spans="1:1" x14ac:dyDescent="0.2">
      <c r="A2" t="b">
        <v>1</v>
      </c>
    </row>
    <row r="5" spans="1:1" x14ac:dyDescent="0.2">
      <c r="A5" s="172">
        <f ca="1">NOW()</f>
        <v>46114.663629282404</v>
      </c>
    </row>
    <row r="6" spans="1:1" x14ac:dyDescent="0.2">
      <c r="A6" s="173">
        <v>0.25</v>
      </c>
    </row>
  </sheetData>
  <phoneticPr fontId="1" type="noConversion"/>
  <pageMargins left="0.78740157499999996" right="0.78740157499999996" top="0.984251969" bottom="0.984251969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4"/>
  <dimension ref="A3:J125"/>
  <sheetViews>
    <sheetView workbookViewId="0">
      <selection activeCell="C11" sqref="C11"/>
    </sheetView>
  </sheetViews>
  <sheetFormatPr baseColWidth="10" defaultRowHeight="12.75" x14ac:dyDescent="0.2"/>
  <cols>
    <col min="1" max="1" width="36.7109375" bestFit="1" customWidth="1"/>
    <col min="2" max="2" width="45.5703125" bestFit="1" customWidth="1"/>
    <col min="7" max="7" width="40.140625" bestFit="1" customWidth="1"/>
  </cols>
  <sheetData>
    <row r="3" spans="2:10" ht="13.5" thickBot="1" x14ac:dyDescent="0.25"/>
    <row r="4" spans="2:10" ht="13.5" thickBot="1" x14ac:dyDescent="0.25">
      <c r="B4" s="83"/>
      <c r="G4" s="83"/>
    </row>
    <row r="5" spans="2:10" x14ac:dyDescent="0.2">
      <c r="B5" s="84" t="s">
        <v>285</v>
      </c>
      <c r="C5">
        <v>1</v>
      </c>
      <c r="G5" s="84" t="s">
        <v>172</v>
      </c>
      <c r="H5">
        <v>1</v>
      </c>
    </row>
    <row r="6" spans="2:10" x14ac:dyDescent="0.2">
      <c r="B6" s="84" t="s">
        <v>147</v>
      </c>
      <c r="C6">
        <v>1</v>
      </c>
      <c r="G6" s="84" t="s">
        <v>173</v>
      </c>
      <c r="H6">
        <v>1</v>
      </c>
    </row>
    <row r="7" spans="2:10" x14ac:dyDescent="0.2">
      <c r="B7" s="84" t="s">
        <v>159</v>
      </c>
      <c r="C7">
        <v>1</v>
      </c>
      <c r="G7" s="84" t="s">
        <v>174</v>
      </c>
      <c r="H7">
        <v>1</v>
      </c>
    </row>
    <row r="8" spans="2:10" x14ac:dyDescent="0.2">
      <c r="B8" s="84" t="s">
        <v>286</v>
      </c>
      <c r="C8">
        <v>1</v>
      </c>
      <c r="G8" s="84" t="s">
        <v>175</v>
      </c>
      <c r="H8">
        <v>1</v>
      </c>
    </row>
    <row r="9" spans="2:10" x14ac:dyDescent="0.2">
      <c r="B9" s="84" t="s">
        <v>287</v>
      </c>
      <c r="C9">
        <v>1</v>
      </c>
      <c r="G9" s="84" t="s">
        <v>176</v>
      </c>
      <c r="H9">
        <v>1</v>
      </c>
    </row>
    <row r="10" spans="2:10" x14ac:dyDescent="0.2">
      <c r="B10" s="84" t="s">
        <v>288</v>
      </c>
      <c r="C10">
        <v>0.30480000000000002</v>
      </c>
      <c r="G10" s="84" t="s">
        <v>177</v>
      </c>
      <c r="H10">
        <v>1</v>
      </c>
    </row>
    <row r="11" spans="2:10" x14ac:dyDescent="0.2">
      <c r="B11" s="84" t="s">
        <v>289</v>
      </c>
      <c r="C11">
        <v>25.4</v>
      </c>
      <c r="G11" s="84" t="s">
        <v>178</v>
      </c>
      <c r="H11">
        <v>1</v>
      </c>
    </row>
    <row r="12" spans="2:10" ht="13.5" thickBot="1" x14ac:dyDescent="0.25">
      <c r="B12" s="85" t="s">
        <v>290</v>
      </c>
      <c r="C12">
        <v>25.4</v>
      </c>
      <c r="G12" s="85" t="s">
        <v>179</v>
      </c>
      <c r="H12">
        <v>1</v>
      </c>
    </row>
    <row r="13" spans="2:10" ht="13.5" thickBot="1" x14ac:dyDescent="0.25">
      <c r="C13">
        <v>1</v>
      </c>
      <c r="H13">
        <v>1</v>
      </c>
    </row>
    <row r="14" spans="2:10" ht="13.5" thickBot="1" x14ac:dyDescent="0.25">
      <c r="B14" s="86" t="s">
        <v>161</v>
      </c>
      <c r="C14">
        <v>1</v>
      </c>
      <c r="G14" s="86" t="s">
        <v>161</v>
      </c>
      <c r="H14">
        <v>1</v>
      </c>
    </row>
    <row r="15" spans="2:10" x14ac:dyDescent="0.2">
      <c r="B15" s="87" t="s">
        <v>291</v>
      </c>
      <c r="C15">
        <v>25.4</v>
      </c>
      <c r="E15" t="s">
        <v>292</v>
      </c>
      <c r="G15" s="87" t="s">
        <v>180</v>
      </c>
      <c r="H15">
        <v>1</v>
      </c>
      <c r="J15" s="90" t="e">
        <f>B15/25.4</f>
        <v>#VALUE!</v>
      </c>
    </row>
    <row r="16" spans="2:10" x14ac:dyDescent="0.2">
      <c r="B16" s="84" t="s">
        <v>293</v>
      </c>
      <c r="C16">
        <v>25.4</v>
      </c>
      <c r="E16" t="s">
        <v>292</v>
      </c>
      <c r="G16" s="84" t="s">
        <v>181</v>
      </c>
      <c r="H16">
        <v>1</v>
      </c>
      <c r="J16" s="90" t="e">
        <f>B16/25.4</f>
        <v>#VALUE!</v>
      </c>
    </row>
    <row r="17" spans="2:10" ht="25.5" x14ac:dyDescent="0.2">
      <c r="B17" s="88" t="s">
        <v>294</v>
      </c>
      <c r="C17">
        <v>25.4</v>
      </c>
      <c r="E17" t="s">
        <v>292</v>
      </c>
      <c r="G17" s="88" t="s">
        <v>182</v>
      </c>
      <c r="H17">
        <v>1</v>
      </c>
      <c r="J17" s="90" t="e">
        <f>B17/25.4</f>
        <v>#VALUE!</v>
      </c>
    </row>
    <row r="18" spans="2:10" x14ac:dyDescent="0.2">
      <c r="B18" s="89" t="s">
        <v>148</v>
      </c>
      <c r="C18">
        <v>1</v>
      </c>
      <c r="G18" s="89" t="s">
        <v>183</v>
      </c>
      <c r="H18">
        <v>1</v>
      </c>
      <c r="J18" s="174" t="str">
        <f>B18</f>
        <v>number of hole or slot calculated by face</v>
      </c>
    </row>
    <row r="19" spans="2:10" x14ac:dyDescent="0.2">
      <c r="B19" s="89" t="s">
        <v>295</v>
      </c>
      <c r="C19">
        <v>1</v>
      </c>
      <c r="G19" s="89" t="s">
        <v>184</v>
      </c>
      <c r="H19">
        <v>1</v>
      </c>
      <c r="J19" s="174" t="str">
        <f>B19</f>
        <v>number of hole reserved hole by face</v>
      </c>
    </row>
    <row r="20" spans="2:10" x14ac:dyDescent="0.2">
      <c r="B20" s="84" t="s">
        <v>296</v>
      </c>
      <c r="C20">
        <v>25.4</v>
      </c>
      <c r="E20" t="s">
        <v>292</v>
      </c>
      <c r="G20" s="84" t="s">
        <v>185</v>
      </c>
      <c r="H20">
        <v>1</v>
      </c>
      <c r="J20" s="78" t="e">
        <f>B20/25.4</f>
        <v>#VALUE!</v>
      </c>
    </row>
    <row r="21" spans="2:10" x14ac:dyDescent="0.2">
      <c r="B21" s="84" t="s">
        <v>297</v>
      </c>
      <c r="C21">
        <f>25.4*12</f>
        <v>304.79999999999995</v>
      </c>
      <c r="E21" t="s">
        <v>298</v>
      </c>
      <c r="G21" s="84" t="s">
        <v>186</v>
      </c>
      <c r="H21">
        <v>1</v>
      </c>
      <c r="J21" s="78" t="e">
        <f>B21/25.4/12</f>
        <v>#VALUE!</v>
      </c>
    </row>
    <row r="22" spans="2:10" x14ac:dyDescent="0.2">
      <c r="B22" s="84" t="s">
        <v>299</v>
      </c>
      <c r="C22">
        <v>0.30480000000000002</v>
      </c>
      <c r="E22" t="s">
        <v>300</v>
      </c>
      <c r="G22" s="84" t="s">
        <v>187</v>
      </c>
      <c r="H22">
        <v>1</v>
      </c>
      <c r="J22" s="78" t="e">
        <f>B22/0.3048</f>
        <v>#VALUE!</v>
      </c>
    </row>
    <row r="23" spans="2:10" x14ac:dyDescent="0.2">
      <c r="B23" s="84" t="s">
        <v>301</v>
      </c>
      <c r="C23">
        <f>5/9</f>
        <v>0.55555555555555558</v>
      </c>
      <c r="D23">
        <v>32</v>
      </c>
      <c r="E23" t="s">
        <v>302</v>
      </c>
      <c r="G23" s="84" t="s">
        <v>188</v>
      </c>
      <c r="H23">
        <v>1</v>
      </c>
      <c r="J23" s="175" t="e">
        <f>B23*9/5+32</f>
        <v>#VALUE!</v>
      </c>
    </row>
    <row r="24" spans="2:10" ht="13.5" thickBot="1" x14ac:dyDescent="0.25">
      <c r="B24" s="85" t="s">
        <v>149</v>
      </c>
      <c r="C24">
        <v>1</v>
      </c>
      <c r="E24" s="176" t="s">
        <v>76</v>
      </c>
      <c r="G24" s="85" t="s">
        <v>189</v>
      </c>
      <c r="H24">
        <v>1</v>
      </c>
      <c r="J24" s="174" t="str">
        <f>B24</f>
        <v>H2 percentage (%)</v>
      </c>
    </row>
    <row r="25" spans="2:10" ht="13.5" thickBot="1" x14ac:dyDescent="0.25">
      <c r="C25">
        <v>1</v>
      </c>
      <c r="H25">
        <v>1</v>
      </c>
    </row>
    <row r="26" spans="2:10" ht="13.5" thickBot="1" x14ac:dyDescent="0.25">
      <c r="B26" s="86" t="s">
        <v>162</v>
      </c>
      <c r="C26">
        <v>1</v>
      </c>
      <c r="E26" s="26"/>
      <c r="G26" s="86" t="s">
        <v>162</v>
      </c>
      <c r="H26">
        <v>1</v>
      </c>
      <c r="J26" s="26"/>
    </row>
    <row r="27" spans="2:10" x14ac:dyDescent="0.2">
      <c r="B27" s="91" t="s">
        <v>303</v>
      </c>
      <c r="C27">
        <v>1</v>
      </c>
      <c r="G27" s="91" t="s">
        <v>190</v>
      </c>
      <c r="H27">
        <v>1</v>
      </c>
    </row>
    <row r="28" spans="2:10" x14ac:dyDescent="0.2">
      <c r="B28" s="91" t="s">
        <v>304</v>
      </c>
      <c r="C28">
        <v>25.4</v>
      </c>
      <c r="E28" t="s">
        <v>292</v>
      </c>
      <c r="G28" s="91" t="s">
        <v>191</v>
      </c>
      <c r="H28">
        <v>1</v>
      </c>
      <c r="J28" s="90" t="e">
        <f>B28/25.4</f>
        <v>#VALUE!</v>
      </c>
    </row>
    <row r="29" spans="2:10" x14ac:dyDescent="0.2">
      <c r="B29" s="91" t="s">
        <v>305</v>
      </c>
      <c r="C29">
        <v>25.4</v>
      </c>
      <c r="E29" t="s">
        <v>292</v>
      </c>
      <c r="G29" s="91" t="s">
        <v>192</v>
      </c>
      <c r="H29">
        <v>1</v>
      </c>
      <c r="J29" s="90" t="e">
        <f>B29/25.4</f>
        <v>#VALUE!</v>
      </c>
    </row>
    <row r="30" spans="2:10" x14ac:dyDescent="0.2">
      <c r="B30" s="91" t="s">
        <v>306</v>
      </c>
      <c r="C30">
        <f>5/9</f>
        <v>0.55555555555555558</v>
      </c>
      <c r="D30">
        <v>32</v>
      </c>
      <c r="E30" t="s">
        <v>302</v>
      </c>
      <c r="G30" s="91" t="s">
        <v>193</v>
      </c>
      <c r="H30">
        <v>1</v>
      </c>
      <c r="J30" s="175" t="e">
        <f>B30*9/5+32</f>
        <v>#VALUE!</v>
      </c>
    </row>
    <row r="31" spans="2:10" x14ac:dyDescent="0.2">
      <c r="B31" s="92" t="s">
        <v>307</v>
      </c>
      <c r="C31">
        <f>5/9</f>
        <v>0.55555555555555558</v>
      </c>
      <c r="E31" t="s">
        <v>308</v>
      </c>
      <c r="G31" s="92" t="s">
        <v>194</v>
      </c>
      <c r="H31">
        <v>1</v>
      </c>
      <c r="J31" s="175" t="e">
        <f>B31*9/5</f>
        <v>#VALUE!</v>
      </c>
    </row>
    <row r="32" spans="2:10" x14ac:dyDescent="0.2">
      <c r="B32" s="91" t="s">
        <v>309</v>
      </c>
      <c r="C32">
        <f>5/9</f>
        <v>0.55555555555555558</v>
      </c>
      <c r="D32">
        <v>32</v>
      </c>
      <c r="E32" t="s">
        <v>302</v>
      </c>
      <c r="G32" s="91" t="s">
        <v>195</v>
      </c>
      <c r="H32">
        <v>1</v>
      </c>
      <c r="J32" s="175" t="e">
        <f>B32*9/5+32</f>
        <v>#VALUE!</v>
      </c>
    </row>
    <row r="33" spans="2:10" ht="13.5" thickBot="1" x14ac:dyDescent="0.25">
      <c r="B33" s="93" t="s">
        <v>310</v>
      </c>
      <c r="C33">
        <f>5/9</f>
        <v>0.55555555555555558</v>
      </c>
      <c r="D33">
        <v>32</v>
      </c>
      <c r="E33" t="s">
        <v>302</v>
      </c>
      <c r="G33" s="93" t="s">
        <v>196</v>
      </c>
      <c r="H33">
        <v>1</v>
      </c>
      <c r="J33" s="175" t="e">
        <f>B33*9/5+32</f>
        <v>#VALUE!</v>
      </c>
    </row>
    <row r="34" spans="2:10" ht="13.5" thickBot="1" x14ac:dyDescent="0.25">
      <c r="C34">
        <v>1</v>
      </c>
      <c r="H34">
        <v>1</v>
      </c>
    </row>
    <row r="35" spans="2:10" ht="13.5" thickBot="1" x14ac:dyDescent="0.25">
      <c r="B35" s="95"/>
      <c r="C35">
        <v>1</v>
      </c>
      <c r="E35" s="26"/>
      <c r="G35" s="95"/>
      <c r="H35">
        <v>1</v>
      </c>
      <c r="J35" s="26"/>
    </row>
    <row r="36" spans="2:10" x14ac:dyDescent="0.2">
      <c r="B36" s="92" t="s">
        <v>311</v>
      </c>
      <c r="C36">
        <f>1/2204.6</f>
        <v>4.5359702440351992E-4</v>
      </c>
      <c r="E36" t="s">
        <v>312</v>
      </c>
      <c r="G36" s="92" t="s">
        <v>197</v>
      </c>
      <c r="H36">
        <v>1</v>
      </c>
      <c r="J36" s="174" t="e">
        <f>B36*2204.6</f>
        <v>#VALUE!</v>
      </c>
    </row>
    <row r="37" spans="2:10" x14ac:dyDescent="0.2">
      <c r="B37" s="92" t="s">
        <v>150</v>
      </c>
      <c r="C37">
        <v>1</v>
      </c>
      <c r="G37" s="92" t="s">
        <v>198</v>
      </c>
      <c r="H37">
        <v>1</v>
      </c>
    </row>
    <row r="38" spans="2:10" x14ac:dyDescent="0.2">
      <c r="B38" s="92" t="s">
        <v>151</v>
      </c>
      <c r="C38">
        <v>1</v>
      </c>
      <c r="G38" s="92" t="s">
        <v>199</v>
      </c>
      <c r="H38">
        <v>1</v>
      </c>
    </row>
    <row r="39" spans="2:10" x14ac:dyDescent="0.2">
      <c r="B39" s="92" t="s">
        <v>152</v>
      </c>
      <c r="C39">
        <v>1</v>
      </c>
      <c r="G39" s="92" t="s">
        <v>200</v>
      </c>
      <c r="H39">
        <v>1</v>
      </c>
    </row>
    <row r="40" spans="2:10" x14ac:dyDescent="0.2">
      <c r="B40" s="92" t="s">
        <v>153</v>
      </c>
      <c r="C40">
        <v>1</v>
      </c>
      <c r="G40" s="92" t="s">
        <v>201</v>
      </c>
      <c r="H40">
        <v>1</v>
      </c>
    </row>
    <row r="41" spans="2:10" x14ac:dyDescent="0.2">
      <c r="B41" s="92"/>
      <c r="C41">
        <v>1</v>
      </c>
      <c r="G41" s="92"/>
      <c r="H41">
        <v>1</v>
      </c>
    </row>
    <row r="42" spans="2:10" ht="13.5" thickBot="1" x14ac:dyDescent="0.25">
      <c r="B42" s="93" t="s">
        <v>154</v>
      </c>
      <c r="C42">
        <v>1</v>
      </c>
      <c r="E42" s="94"/>
      <c r="G42" s="93" t="s">
        <v>202</v>
      </c>
      <c r="H42">
        <v>1</v>
      </c>
      <c r="J42" s="94"/>
    </row>
    <row r="43" spans="2:10" x14ac:dyDescent="0.2">
      <c r="C43">
        <v>1</v>
      </c>
      <c r="H43">
        <v>1</v>
      </c>
    </row>
    <row r="44" spans="2:10" x14ac:dyDescent="0.2">
      <c r="B44" t="s">
        <v>313</v>
      </c>
      <c r="C44">
        <f>1/3416</f>
        <v>2.9274004683840749E-4</v>
      </c>
      <c r="E44" t="s">
        <v>314</v>
      </c>
      <c r="G44" t="s">
        <v>203</v>
      </c>
      <c r="H44">
        <v>1</v>
      </c>
      <c r="J44" s="174" t="e">
        <f>B44*3413</f>
        <v>#VALUE!</v>
      </c>
    </row>
    <row r="45" spans="2:10" x14ac:dyDescent="0.2">
      <c r="B45" t="s">
        <v>315</v>
      </c>
      <c r="C45">
        <f>1/3416</f>
        <v>2.9274004683840749E-4</v>
      </c>
      <c r="E45" t="s">
        <v>314</v>
      </c>
      <c r="G45" t="s">
        <v>204</v>
      </c>
      <c r="H45">
        <v>1</v>
      </c>
      <c r="J45" s="174" t="e">
        <f>B45*3413</f>
        <v>#VALUE!</v>
      </c>
    </row>
    <row r="46" spans="2:10" x14ac:dyDescent="0.2">
      <c r="B46" t="s">
        <v>316</v>
      </c>
      <c r="C46">
        <f>1/3416</f>
        <v>2.9274004683840749E-4</v>
      </c>
      <c r="E46" t="s">
        <v>314</v>
      </c>
      <c r="G46" t="s">
        <v>205</v>
      </c>
      <c r="H46">
        <v>1</v>
      </c>
      <c r="J46" s="174" t="e">
        <f>B46*3413</f>
        <v>#VALUE!</v>
      </c>
    </row>
    <row r="47" spans="2:10" x14ac:dyDescent="0.2">
      <c r="C47">
        <v>1</v>
      </c>
      <c r="H47">
        <v>1</v>
      </c>
    </row>
    <row r="48" spans="2:10" x14ac:dyDescent="0.2">
      <c r="B48" t="s">
        <v>317</v>
      </c>
      <c r="C48">
        <f>1/3416</f>
        <v>2.9274004683840749E-4</v>
      </c>
      <c r="E48" t="s">
        <v>314</v>
      </c>
      <c r="G48" t="s">
        <v>206</v>
      </c>
      <c r="H48">
        <v>1</v>
      </c>
      <c r="J48" s="174" t="e">
        <f>B48*3413</f>
        <v>#VALUE!</v>
      </c>
    </row>
    <row r="49" spans="2:10" x14ac:dyDescent="0.2">
      <c r="C49">
        <v>1</v>
      </c>
      <c r="H49">
        <v>1</v>
      </c>
    </row>
    <row r="50" spans="2:10" x14ac:dyDescent="0.2">
      <c r="B50" s="96" t="s">
        <v>155</v>
      </c>
      <c r="C50">
        <v>1</v>
      </c>
      <c r="G50" s="96" t="s">
        <v>207</v>
      </c>
      <c r="H50">
        <v>1</v>
      </c>
      <c r="J50" t="str">
        <f>B50</f>
        <v>number of blower per jet unit</v>
      </c>
    </row>
    <row r="51" spans="2:10" x14ac:dyDescent="0.2">
      <c r="B51" t="s">
        <v>318</v>
      </c>
      <c r="C51">
        <f>60*0.3048^3</f>
        <v>1.6990107955200002</v>
      </c>
      <c r="E51" t="s">
        <v>319</v>
      </c>
      <c r="G51" t="s">
        <v>208</v>
      </c>
      <c r="H51">
        <v>1</v>
      </c>
      <c r="J51" s="174" t="e">
        <f>B51/60/0.3048^3</f>
        <v>#VALUE!</v>
      </c>
    </row>
    <row r="52" spans="2:10" x14ac:dyDescent="0.2">
      <c r="B52" t="s">
        <v>320</v>
      </c>
      <c r="C52">
        <f>5/9</f>
        <v>0.55555555555555558</v>
      </c>
      <c r="D52">
        <v>32</v>
      </c>
      <c r="E52" t="s">
        <v>302</v>
      </c>
      <c r="G52" t="s">
        <v>209</v>
      </c>
      <c r="H52">
        <v>1</v>
      </c>
      <c r="J52" s="175" t="e">
        <f>B52*9/5+32</f>
        <v>#VALUE!</v>
      </c>
    </row>
    <row r="53" spans="2:10" x14ac:dyDescent="0.2">
      <c r="B53" t="s">
        <v>156</v>
      </c>
      <c r="C53">
        <v>1</v>
      </c>
      <c r="G53" t="s">
        <v>210</v>
      </c>
      <c r="H53">
        <v>1</v>
      </c>
    </row>
    <row r="54" spans="2:10" x14ac:dyDescent="0.2">
      <c r="C54">
        <v>1</v>
      </c>
      <c r="H54">
        <v>1</v>
      </c>
    </row>
    <row r="55" spans="2:10" x14ac:dyDescent="0.2">
      <c r="C55">
        <v>1</v>
      </c>
      <c r="H55">
        <v>1</v>
      </c>
    </row>
    <row r="56" spans="2:10" x14ac:dyDescent="0.2">
      <c r="B56" s="97" t="s">
        <v>321</v>
      </c>
      <c r="C56">
        <f>1/0.040146308</f>
        <v>24.908890750302618</v>
      </c>
      <c r="G56" s="97" t="s">
        <v>211</v>
      </c>
      <c r="H56">
        <v>1</v>
      </c>
    </row>
    <row r="57" spans="2:10" x14ac:dyDescent="0.2">
      <c r="B57" s="96" t="s">
        <v>157</v>
      </c>
      <c r="C57">
        <v>1</v>
      </c>
      <c r="G57" s="96" t="s">
        <v>212</v>
      </c>
      <c r="H57">
        <v>1</v>
      </c>
    </row>
    <row r="58" spans="2:10" x14ac:dyDescent="0.2">
      <c r="B58" t="s">
        <v>322</v>
      </c>
      <c r="C58">
        <f>1/0.040146308</f>
        <v>24.908890750302618</v>
      </c>
      <c r="E58" t="s">
        <v>323</v>
      </c>
      <c r="G58" t="s">
        <v>213</v>
      </c>
      <c r="H58">
        <v>1</v>
      </c>
      <c r="J58" s="78" t="e">
        <f>B58*C58</f>
        <v>#VALUE!</v>
      </c>
    </row>
    <row r="59" spans="2:10" x14ac:dyDescent="0.2">
      <c r="B59" s="96" t="s">
        <v>158</v>
      </c>
      <c r="C59">
        <v>1</v>
      </c>
      <c r="G59" s="96" t="s">
        <v>214</v>
      </c>
      <c r="H59">
        <v>1</v>
      </c>
    </row>
    <row r="60" spans="2:10" x14ac:dyDescent="0.2">
      <c r="B60" t="s">
        <v>324</v>
      </c>
      <c r="C60">
        <v>0.746</v>
      </c>
      <c r="E60" t="s">
        <v>325</v>
      </c>
      <c r="G60" t="s">
        <v>215</v>
      </c>
      <c r="H60">
        <v>1</v>
      </c>
      <c r="J60" s="78" t="e">
        <f>B60/0.746</f>
        <v>#VALUE!</v>
      </c>
    </row>
    <row r="61" spans="2:10" x14ac:dyDescent="0.2">
      <c r="C61">
        <v>1</v>
      </c>
      <c r="H61">
        <v>1</v>
      </c>
    </row>
    <row r="62" spans="2:10" x14ac:dyDescent="0.2">
      <c r="B62" t="s">
        <v>326</v>
      </c>
      <c r="C62">
        <v>25.4</v>
      </c>
      <c r="E62" t="s">
        <v>292</v>
      </c>
      <c r="H62">
        <v>1</v>
      </c>
      <c r="J62" s="90" t="e">
        <f>B62/25.4</f>
        <v>#VALUE!</v>
      </c>
    </row>
    <row r="63" spans="2:10" x14ac:dyDescent="0.2">
      <c r="B63" t="s">
        <v>327</v>
      </c>
      <c r="C63">
        <v>25.4</v>
      </c>
      <c r="E63" t="s">
        <v>292</v>
      </c>
      <c r="H63">
        <v>1</v>
      </c>
      <c r="J63" s="90" t="e">
        <f>B63/25.4</f>
        <v>#VALUE!</v>
      </c>
    </row>
    <row r="64" spans="2:10" x14ac:dyDescent="0.2">
      <c r="B64" s="90" t="s">
        <v>328</v>
      </c>
      <c r="C64">
        <v>1</v>
      </c>
      <c r="G64" s="90"/>
      <c r="H64">
        <v>1</v>
      </c>
    </row>
    <row r="65" spans="1:10" x14ac:dyDescent="0.2">
      <c r="B65" t="s">
        <v>329</v>
      </c>
      <c r="C65">
        <v>1</v>
      </c>
      <c r="H65">
        <v>1</v>
      </c>
    </row>
    <row r="66" spans="1:10" x14ac:dyDescent="0.2">
      <c r="B66" s="96" t="s">
        <v>330</v>
      </c>
      <c r="C66">
        <f>5/9</f>
        <v>0.55555555555555558</v>
      </c>
      <c r="D66">
        <v>32</v>
      </c>
      <c r="E66" t="s">
        <v>302</v>
      </c>
      <c r="G66" t="s">
        <v>216</v>
      </c>
      <c r="H66">
        <v>1</v>
      </c>
      <c r="J66" s="175" t="e">
        <f>B66*9/5+32</f>
        <v>#VALUE!</v>
      </c>
    </row>
    <row r="67" spans="1:10" x14ac:dyDescent="0.2">
      <c r="B67" s="96" t="s">
        <v>331</v>
      </c>
      <c r="C67">
        <f>0.3048^3*60/12^3*231</f>
        <v>0.22712470704000004</v>
      </c>
      <c r="E67" t="s">
        <v>332</v>
      </c>
      <c r="G67" t="s">
        <v>217</v>
      </c>
      <c r="H67">
        <v>1</v>
      </c>
      <c r="J67" s="78" t="e">
        <f>B67/0.3048^3/60*12^3/231</f>
        <v>#VALUE!</v>
      </c>
    </row>
    <row r="68" spans="1:10" x14ac:dyDescent="0.2">
      <c r="B68" s="90" t="s">
        <v>333</v>
      </c>
      <c r="C68">
        <f>5/9</f>
        <v>0.55555555555555558</v>
      </c>
      <c r="D68">
        <v>32</v>
      </c>
      <c r="E68" t="s">
        <v>302</v>
      </c>
      <c r="G68" s="90" t="s">
        <v>218</v>
      </c>
      <c r="H68">
        <v>1</v>
      </c>
      <c r="J68" s="175" t="e">
        <f>B68*9/5+32</f>
        <v>#VALUE!</v>
      </c>
    </row>
    <row r="69" spans="1:10" x14ac:dyDescent="0.2">
      <c r="B69" s="90" t="s">
        <v>334</v>
      </c>
      <c r="C69">
        <v>1</v>
      </c>
      <c r="G69" s="90" t="s">
        <v>219</v>
      </c>
      <c r="H69">
        <v>1</v>
      </c>
    </row>
    <row r="70" spans="1:10" x14ac:dyDescent="0.2">
      <c r="C70">
        <v>1</v>
      </c>
    </row>
    <row r="71" spans="1:10" x14ac:dyDescent="0.2">
      <c r="C71">
        <v>1</v>
      </c>
    </row>
    <row r="72" spans="1:10" x14ac:dyDescent="0.2">
      <c r="B72" t="s">
        <v>335</v>
      </c>
      <c r="C72">
        <f>1/1.8</f>
        <v>0.55555555555555558</v>
      </c>
      <c r="D72">
        <v>32</v>
      </c>
      <c r="E72" t="s">
        <v>336</v>
      </c>
      <c r="J72" s="78" t="e">
        <f>B72*1.8</f>
        <v>#VALUE!</v>
      </c>
    </row>
    <row r="73" spans="1:10" x14ac:dyDescent="0.2">
      <c r="B73" t="s">
        <v>337</v>
      </c>
      <c r="C73">
        <v>1</v>
      </c>
    </row>
    <row r="76" spans="1:10" ht="15.75" x14ac:dyDescent="0.25">
      <c r="A76" s="136" t="s">
        <v>220</v>
      </c>
    </row>
    <row r="77" spans="1:10" ht="15" x14ac:dyDescent="0.2">
      <c r="A77" s="135" t="s">
        <v>221</v>
      </c>
      <c r="B77" s="137" t="s">
        <v>338</v>
      </c>
      <c r="G77" s="137" t="s">
        <v>222</v>
      </c>
    </row>
    <row r="78" spans="1:10" ht="15" x14ac:dyDescent="0.2">
      <c r="A78" s="135" t="s">
        <v>223</v>
      </c>
      <c r="B78" s="137" t="s">
        <v>339</v>
      </c>
      <c r="G78" s="137" t="s">
        <v>224</v>
      </c>
    </row>
    <row r="79" spans="1:10" ht="15" x14ac:dyDescent="0.2">
      <c r="A79" s="135" t="s">
        <v>225</v>
      </c>
      <c r="B79" s="137" t="s">
        <v>292</v>
      </c>
      <c r="G79" s="137" t="s">
        <v>226</v>
      </c>
    </row>
    <row r="80" spans="1:10" ht="15" x14ac:dyDescent="0.2">
      <c r="A80" s="135"/>
      <c r="B80" s="137"/>
      <c r="G80" s="137"/>
    </row>
    <row r="81" spans="1:7" ht="15.75" x14ac:dyDescent="0.25">
      <c r="A81" s="40"/>
      <c r="B81" s="136" t="s">
        <v>227</v>
      </c>
      <c r="G81" s="136" t="s">
        <v>227</v>
      </c>
    </row>
    <row r="82" spans="1:7" ht="15.75" x14ac:dyDescent="0.25">
      <c r="A82" s="136" t="s">
        <v>228</v>
      </c>
      <c r="B82" s="135"/>
      <c r="G82" s="135"/>
    </row>
    <row r="83" spans="1:7" ht="15" x14ac:dyDescent="0.2">
      <c r="A83" s="135" t="s">
        <v>229</v>
      </c>
      <c r="B83" s="137" t="s">
        <v>292</v>
      </c>
      <c r="G83" s="137" t="s">
        <v>226</v>
      </c>
    </row>
    <row r="84" spans="1:7" ht="15" x14ac:dyDescent="0.2">
      <c r="A84" s="135" t="s">
        <v>230</v>
      </c>
      <c r="B84" s="137" t="s">
        <v>292</v>
      </c>
      <c r="G84" s="137" t="s">
        <v>226</v>
      </c>
    </row>
    <row r="85" spans="1:7" ht="15" x14ac:dyDescent="0.2">
      <c r="A85" s="135" t="s">
        <v>231</v>
      </c>
      <c r="B85" s="137" t="s">
        <v>292</v>
      </c>
      <c r="G85" s="137" t="s">
        <v>226</v>
      </c>
    </row>
    <row r="86" spans="1:7" x14ac:dyDescent="0.2">
      <c r="A86" s="40"/>
      <c r="B86" s="40"/>
      <c r="G86" s="40"/>
    </row>
    <row r="87" spans="1:7" ht="15.75" x14ac:dyDescent="0.25">
      <c r="A87" s="136" t="s">
        <v>232</v>
      </c>
      <c r="B87" s="135"/>
      <c r="G87" s="135"/>
    </row>
    <row r="88" spans="1:7" ht="15" x14ac:dyDescent="0.2">
      <c r="A88" s="135" t="s">
        <v>233</v>
      </c>
      <c r="B88" s="137" t="s">
        <v>302</v>
      </c>
      <c r="G88" s="137" t="s">
        <v>75</v>
      </c>
    </row>
    <row r="89" spans="1:7" ht="15" x14ac:dyDescent="0.2">
      <c r="A89" s="135" t="s">
        <v>234</v>
      </c>
      <c r="B89" s="137" t="s">
        <v>302</v>
      </c>
      <c r="G89" s="137" t="s">
        <v>75</v>
      </c>
    </row>
    <row r="90" spans="1:7" ht="15" x14ac:dyDescent="0.2">
      <c r="A90" s="135" t="s">
        <v>235</v>
      </c>
      <c r="B90" s="137" t="s">
        <v>340</v>
      </c>
      <c r="G90" s="137" t="s">
        <v>236</v>
      </c>
    </row>
    <row r="91" spans="1:7" x14ac:dyDescent="0.2">
      <c r="A91" s="40"/>
      <c r="B91" s="40"/>
      <c r="G91" s="40"/>
    </row>
    <row r="92" spans="1:7" ht="15.75" x14ac:dyDescent="0.25">
      <c r="A92" s="136" t="s">
        <v>237</v>
      </c>
      <c r="B92" s="135"/>
      <c r="G92" s="135"/>
    </row>
    <row r="93" spans="1:7" ht="15" x14ac:dyDescent="0.2">
      <c r="A93" s="135" t="s">
        <v>238</v>
      </c>
      <c r="B93" s="137" t="s">
        <v>314</v>
      </c>
      <c r="G93" s="137" t="s">
        <v>239</v>
      </c>
    </row>
    <row r="94" spans="1:7" ht="15" x14ac:dyDescent="0.2">
      <c r="A94" s="135" t="s">
        <v>240</v>
      </c>
      <c r="B94" s="137" t="s">
        <v>323</v>
      </c>
      <c r="G94" s="137" t="s">
        <v>241</v>
      </c>
    </row>
    <row r="95" spans="1:7" ht="15" x14ac:dyDescent="0.2">
      <c r="A95" s="135" t="s">
        <v>242</v>
      </c>
      <c r="B95" s="137" t="s">
        <v>341</v>
      </c>
      <c r="G95" s="137" t="s">
        <v>243</v>
      </c>
    </row>
    <row r="96" spans="1:7" ht="15" x14ac:dyDescent="0.2">
      <c r="A96" s="135" t="s">
        <v>244</v>
      </c>
      <c r="B96" s="137" t="s">
        <v>342</v>
      </c>
      <c r="G96" s="137" t="s">
        <v>245</v>
      </c>
    </row>
    <row r="97" spans="1:7" ht="15" x14ac:dyDescent="0.2">
      <c r="A97" s="135" t="s">
        <v>246</v>
      </c>
      <c r="B97" s="137" t="s">
        <v>247</v>
      </c>
      <c r="G97" s="137" t="s">
        <v>247</v>
      </c>
    </row>
    <row r="98" spans="1:7" x14ac:dyDescent="0.2">
      <c r="A98" s="40"/>
      <c r="B98" s="40"/>
      <c r="G98" s="40"/>
    </row>
    <row r="99" spans="1:7" ht="15.75" x14ac:dyDescent="0.25">
      <c r="A99" s="136" t="s">
        <v>248</v>
      </c>
      <c r="B99" s="135"/>
      <c r="G99" s="135"/>
    </row>
    <row r="100" spans="1:7" ht="15" x14ac:dyDescent="0.2">
      <c r="A100" s="135" t="s">
        <v>249</v>
      </c>
      <c r="B100" s="137" t="s">
        <v>250</v>
      </c>
      <c r="G100" s="137" t="s">
        <v>250</v>
      </c>
    </row>
    <row r="101" spans="1:7" ht="15" x14ac:dyDescent="0.2">
      <c r="A101" s="135" t="s">
        <v>251</v>
      </c>
      <c r="B101" s="137" t="s">
        <v>252</v>
      </c>
      <c r="G101" s="137" t="s">
        <v>252</v>
      </c>
    </row>
    <row r="102" spans="1:7" ht="15" x14ac:dyDescent="0.2">
      <c r="A102" s="135" t="s">
        <v>251</v>
      </c>
      <c r="B102" s="137" t="s">
        <v>253</v>
      </c>
      <c r="G102" s="137" t="s">
        <v>253</v>
      </c>
    </row>
    <row r="103" spans="1:7" x14ac:dyDescent="0.2">
      <c r="A103" s="40"/>
      <c r="B103" s="40"/>
      <c r="G103" s="40"/>
    </row>
    <row r="104" spans="1:7" ht="15.75" x14ac:dyDescent="0.25">
      <c r="A104" s="136" t="s">
        <v>254</v>
      </c>
      <c r="B104" s="135"/>
      <c r="G104" s="135"/>
    </row>
    <row r="105" spans="1:7" ht="15" x14ac:dyDescent="0.2">
      <c r="A105" s="135" t="s">
        <v>255</v>
      </c>
      <c r="B105" s="40"/>
      <c r="G105" s="40"/>
    </row>
    <row r="106" spans="1:7" ht="18" x14ac:dyDescent="0.2">
      <c r="A106" s="135" t="s">
        <v>256</v>
      </c>
      <c r="B106" s="137" t="s">
        <v>319</v>
      </c>
      <c r="G106" s="137" t="s">
        <v>274</v>
      </c>
    </row>
    <row r="107" spans="1:7" ht="18" x14ac:dyDescent="0.2">
      <c r="A107" s="135" t="s">
        <v>257</v>
      </c>
      <c r="B107" s="137" t="s">
        <v>319</v>
      </c>
      <c r="G107" s="137" t="s">
        <v>274</v>
      </c>
    </row>
    <row r="108" spans="1:7" ht="15" x14ac:dyDescent="0.2">
      <c r="A108" s="135" t="s">
        <v>258</v>
      </c>
      <c r="B108" s="137" t="s">
        <v>76</v>
      </c>
      <c r="G108" s="137" t="s">
        <v>76</v>
      </c>
    </row>
    <row r="109" spans="1:7" ht="15" x14ac:dyDescent="0.2">
      <c r="A109" s="135" t="s">
        <v>259</v>
      </c>
      <c r="B109" s="137" t="s">
        <v>323</v>
      </c>
      <c r="G109" s="137" t="s">
        <v>241</v>
      </c>
    </row>
    <row r="110" spans="1:7" ht="15" x14ac:dyDescent="0.2">
      <c r="A110" s="135" t="s">
        <v>260</v>
      </c>
      <c r="B110" s="137" t="s">
        <v>323</v>
      </c>
      <c r="G110" s="137" t="s">
        <v>241</v>
      </c>
    </row>
    <row r="111" spans="1:7" ht="15" x14ac:dyDescent="0.2">
      <c r="A111" s="135" t="s">
        <v>261</v>
      </c>
      <c r="B111" s="137" t="s">
        <v>323</v>
      </c>
      <c r="G111" s="137" t="s">
        <v>241</v>
      </c>
    </row>
    <row r="112" spans="1:7" x14ac:dyDescent="0.2">
      <c r="A112" s="40"/>
      <c r="B112" s="40"/>
      <c r="G112" s="40"/>
    </row>
    <row r="113" spans="1:7" ht="15.75" x14ac:dyDescent="0.25">
      <c r="A113" s="136" t="s">
        <v>262</v>
      </c>
      <c r="B113" s="137"/>
      <c r="G113" s="137"/>
    </row>
    <row r="114" spans="1:7" ht="15" x14ac:dyDescent="0.2">
      <c r="A114" s="135" t="s">
        <v>263</v>
      </c>
      <c r="B114" s="137" t="s">
        <v>76</v>
      </c>
      <c r="G114" s="137" t="s">
        <v>76</v>
      </c>
    </row>
    <row r="115" spans="1:7" ht="15" x14ac:dyDescent="0.2">
      <c r="A115" s="138" t="s">
        <v>264</v>
      </c>
      <c r="B115" s="137" t="s">
        <v>343</v>
      </c>
      <c r="G115" s="137" t="s">
        <v>245</v>
      </c>
    </row>
    <row r="116" spans="1:7" ht="15" x14ac:dyDescent="0.2">
      <c r="A116" s="139" t="s">
        <v>265</v>
      </c>
      <c r="B116" s="137"/>
      <c r="G116" s="137"/>
    </row>
    <row r="117" spans="1:7" ht="15" x14ac:dyDescent="0.2">
      <c r="A117" s="140" t="s">
        <v>266</v>
      </c>
      <c r="B117" s="137" t="s">
        <v>344</v>
      </c>
      <c r="G117" s="137" t="s">
        <v>74</v>
      </c>
    </row>
    <row r="118" spans="1:7" ht="15" x14ac:dyDescent="0.2">
      <c r="A118" s="140"/>
      <c r="B118" s="137"/>
      <c r="G118" s="137"/>
    </row>
    <row r="119" spans="1:7" ht="15.75" x14ac:dyDescent="0.25">
      <c r="A119" s="136" t="s">
        <v>267</v>
      </c>
      <c r="B119" s="135"/>
      <c r="G119" s="135"/>
    </row>
    <row r="120" spans="1:7" ht="18" x14ac:dyDescent="0.2">
      <c r="A120" s="135" t="s">
        <v>268</v>
      </c>
      <c r="B120" s="137" t="s">
        <v>319</v>
      </c>
      <c r="G120" s="137" t="s">
        <v>275</v>
      </c>
    </row>
    <row r="121" spans="1:7" ht="15" x14ac:dyDescent="0.2">
      <c r="A121" s="135" t="s">
        <v>269</v>
      </c>
      <c r="B121" s="137" t="s">
        <v>302</v>
      </c>
      <c r="G121" s="137" t="s">
        <v>75</v>
      </c>
    </row>
    <row r="122" spans="1:7" ht="15" x14ac:dyDescent="0.2">
      <c r="A122" s="135" t="s">
        <v>270</v>
      </c>
      <c r="B122" s="137" t="s">
        <v>302</v>
      </c>
      <c r="G122" s="137" t="s">
        <v>75</v>
      </c>
    </row>
    <row r="123" spans="1:7" ht="15" x14ac:dyDescent="0.2">
      <c r="A123" s="135" t="s">
        <v>271</v>
      </c>
      <c r="B123" s="137" t="s">
        <v>302</v>
      </c>
      <c r="G123" s="137" t="s">
        <v>75</v>
      </c>
    </row>
    <row r="124" spans="1:7" ht="15" x14ac:dyDescent="0.2">
      <c r="A124" s="135" t="s">
        <v>272</v>
      </c>
      <c r="B124" s="137" t="s">
        <v>302</v>
      </c>
      <c r="G124" s="137" t="s">
        <v>75</v>
      </c>
    </row>
    <row r="125" spans="1:7" ht="18" x14ac:dyDescent="0.2">
      <c r="A125" s="135" t="s">
        <v>273</v>
      </c>
      <c r="B125" s="137" t="s">
        <v>319</v>
      </c>
      <c r="G125" s="137" t="s">
        <v>275</v>
      </c>
    </row>
  </sheetData>
  <phoneticPr fontId="1" type="noConversion"/>
  <conditionalFormatting sqref="G85">
    <cfRule type="expression" dxfId="6" priority="1" stopIfTrue="1">
      <formula>#REF!&lt;$E$207</formula>
    </cfRule>
  </conditionalFormatting>
  <conditionalFormatting sqref="G84">
    <cfRule type="expression" dxfId="5" priority="2" stopIfTrue="1">
      <formula>#REF!&lt;$E$206</formula>
    </cfRule>
  </conditionalFormatting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R28"/>
  <sheetViews>
    <sheetView workbookViewId="0">
      <pane xSplit="2" ySplit="3" topLeftCell="G4" activePane="bottomRight" state="frozenSplit"/>
      <selection pane="topRight" activeCell="B1" sqref="B1"/>
      <selection pane="bottomLeft" activeCell="A3" sqref="A3"/>
      <selection pane="bottomRight" activeCell="G28" sqref="G28"/>
    </sheetView>
  </sheetViews>
  <sheetFormatPr baseColWidth="10" defaultColWidth="21" defaultRowHeight="12.75" x14ac:dyDescent="0.2"/>
  <cols>
    <col min="1" max="8" width="21" style="2" customWidth="1"/>
    <col min="9" max="9" width="25" style="2" bestFit="1" customWidth="1"/>
    <col min="10" max="10" width="21.5703125" style="2" bestFit="1" customWidth="1"/>
    <col min="11" max="16384" width="21" style="2"/>
  </cols>
  <sheetData>
    <row r="1" spans="1:18" s="4" customFormat="1" ht="15" customHeight="1" x14ac:dyDescent="0.2">
      <c r="A1" s="3" t="s">
        <v>46</v>
      </c>
      <c r="L1" s="9"/>
      <c r="M1" s="9"/>
      <c r="N1" s="9"/>
      <c r="O1" s="9"/>
      <c r="P1" s="9"/>
      <c r="Q1" s="9"/>
      <c r="R1" s="9"/>
    </row>
    <row r="2" spans="1:18" s="12" customFormat="1" ht="15" customHeight="1" x14ac:dyDescent="0.2">
      <c r="A2" s="16"/>
      <c r="B2" s="17"/>
      <c r="H2" s="12" t="s">
        <v>55</v>
      </c>
      <c r="I2" s="12" t="s">
        <v>57</v>
      </c>
      <c r="J2" s="12" t="s">
        <v>57</v>
      </c>
      <c r="K2" s="13">
        <v>273</v>
      </c>
      <c r="L2" s="491" t="s">
        <v>69</v>
      </c>
      <c r="M2" s="491"/>
      <c r="N2" s="491"/>
      <c r="O2" s="491"/>
      <c r="P2" s="491"/>
      <c r="Q2" s="491"/>
      <c r="R2" s="491"/>
    </row>
    <row r="3" spans="1:18" s="14" customFormat="1" ht="15" customHeight="1" thickBot="1" x14ac:dyDescent="0.25">
      <c r="A3" s="18" t="s">
        <v>47</v>
      </c>
      <c r="B3" s="19" t="s">
        <v>48</v>
      </c>
      <c r="C3" s="14" t="s">
        <v>49</v>
      </c>
      <c r="D3" s="14" t="s">
        <v>50</v>
      </c>
      <c r="E3" s="14" t="s">
        <v>51</v>
      </c>
      <c r="F3" s="14" t="s">
        <v>52</v>
      </c>
      <c r="G3" s="14" t="s">
        <v>53</v>
      </c>
      <c r="H3" s="14" t="s">
        <v>54</v>
      </c>
      <c r="I3" s="14" t="s">
        <v>56</v>
      </c>
      <c r="J3" s="14" t="s">
        <v>58</v>
      </c>
      <c r="K3" s="14" t="s">
        <v>59</v>
      </c>
      <c r="L3" s="14" t="s">
        <v>60</v>
      </c>
      <c r="M3" s="14" t="s">
        <v>61</v>
      </c>
      <c r="N3" s="14" t="s">
        <v>62</v>
      </c>
      <c r="O3" s="14" t="s">
        <v>63</v>
      </c>
      <c r="P3" s="14" t="s">
        <v>64</v>
      </c>
      <c r="Q3" s="14" t="s">
        <v>65</v>
      </c>
      <c r="R3" s="14" t="s">
        <v>66</v>
      </c>
    </row>
    <row r="4" spans="1:18" ht="15" customHeight="1" x14ac:dyDescent="0.2">
      <c r="A4" s="20" t="s">
        <v>0</v>
      </c>
      <c r="B4" s="21" t="s">
        <v>1</v>
      </c>
      <c r="E4" s="2">
        <v>2</v>
      </c>
      <c r="H4" s="2">
        <v>31.998000000000001</v>
      </c>
      <c r="I4" s="2">
        <v>0</v>
      </c>
      <c r="J4" s="2">
        <f t="shared" ref="J4:J10" si="0">ABS(C4*$I$5+D4/2*$I$6+G4*$I$8-I4)</f>
        <v>0</v>
      </c>
      <c r="K4" s="7">
        <f>L4+M4*$K$2+N4*$K$2^2+O4*$K$2^3+P4*$K$2^4+Q4*$K$2^5+R4*$K$2^6</f>
        <v>932.62479164497745</v>
      </c>
      <c r="L4" s="6">
        <v>876.31700000000001</v>
      </c>
      <c r="M4" s="6">
        <v>0.12282800000000001</v>
      </c>
      <c r="N4" s="6">
        <v>5.5830400000000003E-4</v>
      </c>
      <c r="O4" s="6">
        <v>-1.2024699999999999E-6</v>
      </c>
      <c r="P4" s="6">
        <v>1.1474100000000001E-9</v>
      </c>
      <c r="Q4" s="6">
        <v>-5.1237699999999997E-13</v>
      </c>
      <c r="R4" s="25">
        <v>8.56597E-17</v>
      </c>
    </row>
    <row r="5" spans="1:18" ht="15" customHeight="1" x14ac:dyDescent="0.2">
      <c r="A5" s="20" t="s">
        <v>2</v>
      </c>
      <c r="B5" s="21" t="s">
        <v>3</v>
      </c>
      <c r="C5" s="2">
        <v>1</v>
      </c>
      <c r="E5" s="2">
        <v>2</v>
      </c>
      <c r="H5" s="2">
        <v>44.01</v>
      </c>
      <c r="I5" s="2">
        <v>-393532400</v>
      </c>
      <c r="J5" s="2">
        <f t="shared" si="0"/>
        <v>0</v>
      </c>
      <c r="K5" s="7">
        <f t="shared" ref="K5:K27" si="1">L5+M5*$K$2+N5*$K$2^2+O5*$K$2^3+P5*$K$2^4+Q5*$K$2^5+R5*$K$2^6</f>
        <v>839.97594491457721</v>
      </c>
      <c r="L5" s="6">
        <v>535.44600000000003</v>
      </c>
      <c r="M5" s="2">
        <v>1.27867</v>
      </c>
      <c r="N5" s="2">
        <v>-5.4677999999999997E-4</v>
      </c>
      <c r="O5" s="2">
        <v>-2.3822E-7</v>
      </c>
      <c r="P5" s="2">
        <v>1.892E-10</v>
      </c>
      <c r="R5" s="8"/>
    </row>
    <row r="6" spans="1:18" ht="15" customHeight="1" x14ac:dyDescent="0.2">
      <c r="A6" s="20" t="s">
        <v>4</v>
      </c>
      <c r="B6" s="21" t="s">
        <v>5</v>
      </c>
      <c r="D6" s="2">
        <v>2</v>
      </c>
      <c r="E6" s="2">
        <v>1</v>
      </c>
      <c r="H6" s="2">
        <v>18.015000000000001</v>
      </c>
      <c r="I6" s="2">
        <v>-241837900</v>
      </c>
      <c r="J6" s="2">
        <f t="shared" si="0"/>
        <v>0</v>
      </c>
      <c r="K6" s="7">
        <f>L6+M6*$K$2+N6*$K$2^2+O6*$K$2^3+P6*$K$2^4+Q6*$K$2^5+R6*$K$2^6</f>
        <v>1832.9626644128866</v>
      </c>
      <c r="L6" s="6">
        <v>1937.8</v>
      </c>
      <c r="M6" s="2">
        <v>-1.1807700000000001</v>
      </c>
      <c r="N6" s="2">
        <v>3.6435700000000001E-3</v>
      </c>
      <c r="O6" s="2">
        <v>-2.8633000000000002E-6</v>
      </c>
      <c r="P6" s="2">
        <v>7.5957999999999998E-10</v>
      </c>
      <c r="R6" s="8"/>
    </row>
    <row r="7" spans="1:18" ht="15" customHeight="1" x14ac:dyDescent="0.2">
      <c r="A7" s="20" t="s">
        <v>67</v>
      </c>
      <c r="B7" s="21" t="s">
        <v>68</v>
      </c>
      <c r="F7" s="2">
        <v>2</v>
      </c>
      <c r="H7" s="2">
        <f>14.0067*2</f>
        <v>28.013400000000001</v>
      </c>
      <c r="I7" s="2">
        <v>0</v>
      </c>
      <c r="J7" s="2">
        <f t="shared" si="0"/>
        <v>0</v>
      </c>
      <c r="K7" s="7">
        <f>L7+M7*$K$2+N7*$K$2^2+O7*$K$2^3+P7*$K$2^4+Q7*$K$2^5+R7*$K$2^6</f>
        <v>1043.1173851288859</v>
      </c>
      <c r="L7" s="6">
        <v>1027.05</v>
      </c>
      <c r="M7" s="2">
        <v>2.1618200000000001E-2</v>
      </c>
      <c r="N7" s="2">
        <v>1.4864000000000001E-4</v>
      </c>
      <c r="O7" s="2">
        <v>-4.4841999999999999E-8</v>
      </c>
      <c r="R7" s="8"/>
    </row>
    <row r="8" spans="1:18" ht="15" customHeight="1" x14ac:dyDescent="0.2">
      <c r="A8" s="20" t="s">
        <v>6</v>
      </c>
      <c r="B8" s="21" t="s">
        <v>7</v>
      </c>
      <c r="E8" s="2">
        <v>2</v>
      </c>
      <c r="G8" s="2">
        <v>1</v>
      </c>
      <c r="H8" s="2">
        <v>64.064000000000007</v>
      </c>
      <c r="I8" s="2">
        <v>-296861200</v>
      </c>
      <c r="J8" s="2">
        <f t="shared" si="0"/>
        <v>0</v>
      </c>
      <c r="K8" s="7">
        <f t="shared" si="1"/>
        <v>605.61578322486832</v>
      </c>
      <c r="L8" s="6">
        <v>377.46</v>
      </c>
      <c r="M8" s="5">
        <v>1.0449999999999999</v>
      </c>
      <c r="N8" s="5">
        <v>-8.4831000000000001E-4</v>
      </c>
      <c r="O8" s="5">
        <v>3.108E-7</v>
      </c>
      <c r="P8" s="5">
        <v>-4.1260999999999997E-11</v>
      </c>
      <c r="R8" s="8"/>
    </row>
    <row r="9" spans="1:18" ht="15" customHeight="1" x14ac:dyDescent="0.2">
      <c r="A9" s="20" t="s">
        <v>8</v>
      </c>
      <c r="B9" s="21" t="s">
        <v>9</v>
      </c>
      <c r="D9" s="2">
        <v>2</v>
      </c>
      <c r="H9" s="2">
        <v>2.016</v>
      </c>
      <c r="I9" s="2">
        <v>0</v>
      </c>
      <c r="J9" s="2">
        <f t="shared" si="0"/>
        <v>241837900</v>
      </c>
      <c r="K9" s="7">
        <f t="shared" si="1"/>
        <v>14237.23121324704</v>
      </c>
      <c r="L9" s="6">
        <v>13321</v>
      </c>
      <c r="M9" s="5">
        <v>5.3533999999999997</v>
      </c>
      <c r="N9" s="5">
        <v>-9.1581000000000006E-3</v>
      </c>
      <c r="O9" s="5">
        <v>7.2402999999999999E-6</v>
      </c>
      <c r="P9" s="5">
        <v>-1.8034E-9</v>
      </c>
      <c r="R9" s="8"/>
    </row>
    <row r="10" spans="1:18" ht="15" customHeight="1" x14ac:dyDescent="0.2">
      <c r="A10" s="20" t="s">
        <v>10</v>
      </c>
      <c r="B10" s="21" t="s">
        <v>11</v>
      </c>
      <c r="C10" s="2">
        <v>1</v>
      </c>
      <c r="D10" s="2">
        <v>4</v>
      </c>
      <c r="H10" s="2">
        <v>16.042999999999999</v>
      </c>
      <c r="I10" s="2">
        <v>-74895180</v>
      </c>
      <c r="J10" s="2">
        <f t="shared" si="0"/>
        <v>802313020</v>
      </c>
      <c r="K10" s="7">
        <f t="shared" si="1"/>
        <v>2093.4640062000003</v>
      </c>
      <c r="L10" s="5">
        <v>912.66</v>
      </c>
      <c r="M10" s="5">
        <v>4.6180000000000003</v>
      </c>
      <c r="N10" s="5">
        <v>-1.0721999999999999E-3</v>
      </c>
      <c r="R10" s="8"/>
    </row>
    <row r="11" spans="1:18" ht="15" customHeight="1" x14ac:dyDescent="0.2">
      <c r="A11" s="20" t="s">
        <v>12</v>
      </c>
      <c r="B11" s="21" t="s">
        <v>13</v>
      </c>
      <c r="C11" s="2">
        <v>2</v>
      </c>
      <c r="D11" s="2">
        <v>6</v>
      </c>
      <c r="H11" s="2">
        <v>30.07</v>
      </c>
      <c r="I11" s="2">
        <v>-83863290</v>
      </c>
      <c r="J11" s="2">
        <f t="shared" ref="J11:J21" si="2">ABS(C11*$I$5+D11/2*$I$6+G11*$I$8-I11)</f>
        <v>1428715210</v>
      </c>
      <c r="K11" s="7">
        <f t="shared" si="1"/>
        <v>1630.20949110833</v>
      </c>
      <c r="L11" s="5">
        <v>150.19999999999999</v>
      </c>
      <c r="M11" s="5">
        <v>6.0917000000000003</v>
      </c>
      <c r="N11" s="5">
        <v>-2.5628999999999999E-3</v>
      </c>
      <c r="O11" s="5">
        <v>3.9248999999999999E-7</v>
      </c>
      <c r="R11" s="8"/>
    </row>
    <row r="12" spans="1:18" ht="15" customHeight="1" x14ac:dyDescent="0.2">
      <c r="A12" s="20" t="s">
        <v>14</v>
      </c>
      <c r="B12" s="21" t="s">
        <v>15</v>
      </c>
      <c r="C12" s="2">
        <v>3</v>
      </c>
      <c r="D12" s="2">
        <v>8</v>
      </c>
      <c r="H12" s="2">
        <v>44.097000000000001</v>
      </c>
      <c r="I12" s="2">
        <v>-103860200</v>
      </c>
      <c r="J12" s="2">
        <f t="shared" si="2"/>
        <v>2044088600</v>
      </c>
      <c r="K12" s="7">
        <f t="shared" si="1"/>
        <v>2059.3669099917502</v>
      </c>
      <c r="L12" s="5">
        <v>921.38</v>
      </c>
      <c r="M12" s="5">
        <v>4.3335999999999997</v>
      </c>
      <c r="N12" s="5">
        <v>-4.6783000000000003E-4</v>
      </c>
      <c r="O12" s="5">
        <v>-5.0225000000000004E-7</v>
      </c>
      <c r="R12" s="8"/>
    </row>
    <row r="13" spans="1:18" ht="15" customHeight="1" x14ac:dyDescent="0.2">
      <c r="A13" s="20" t="s">
        <v>16</v>
      </c>
      <c r="B13" s="21" t="s">
        <v>17</v>
      </c>
      <c r="C13" s="2">
        <v>4</v>
      </c>
      <c r="D13" s="2">
        <v>10</v>
      </c>
      <c r="H13" s="2">
        <v>58.124000000000002</v>
      </c>
      <c r="I13" s="2">
        <v>-133225000</v>
      </c>
      <c r="J13" s="2">
        <f t="shared" si="2"/>
        <v>2650094100</v>
      </c>
      <c r="K13" s="7">
        <f t="shared" si="1"/>
        <v>1599.9787216873699</v>
      </c>
      <c r="L13" s="5">
        <v>54.758000000000003</v>
      </c>
      <c r="M13" s="5">
        <v>6.5218999999999996</v>
      </c>
      <c r="N13" s="5">
        <v>-3.3394000000000002E-3</v>
      </c>
      <c r="O13" s="5">
        <v>6.6960999999999997E-7</v>
      </c>
      <c r="R13" s="8"/>
    </row>
    <row r="14" spans="1:18" ht="15" customHeight="1" x14ac:dyDescent="0.2">
      <c r="A14" s="20" t="s">
        <v>18</v>
      </c>
      <c r="B14" s="21" t="s">
        <v>19</v>
      </c>
      <c r="C14" s="2">
        <v>5</v>
      </c>
      <c r="D14" s="2">
        <v>12</v>
      </c>
      <c r="H14" s="2">
        <v>72.150999999999996</v>
      </c>
      <c r="I14" s="2">
        <v>-146357200</v>
      </c>
      <c r="J14" s="2">
        <f t="shared" si="2"/>
        <v>3272332200</v>
      </c>
      <c r="K14" s="7">
        <f t="shared" si="1"/>
        <v>1553.9449023095599</v>
      </c>
      <c r="L14" s="5">
        <v>-23.602</v>
      </c>
      <c r="M14" s="5">
        <v>6.6901999999999999</v>
      </c>
      <c r="N14" s="5">
        <v>-3.5409999999999999E-3</v>
      </c>
      <c r="O14" s="5">
        <v>7.3867999999999999E-7</v>
      </c>
      <c r="R14" s="8"/>
    </row>
    <row r="15" spans="1:18" ht="15" customHeight="1" x14ac:dyDescent="0.2">
      <c r="A15" s="1" t="s">
        <v>20</v>
      </c>
      <c r="B15" s="21" t="s">
        <v>21</v>
      </c>
      <c r="C15" s="2">
        <v>6</v>
      </c>
      <c r="D15" s="2">
        <v>14</v>
      </c>
      <c r="H15" s="2">
        <v>86.179000000000002</v>
      </c>
      <c r="I15" s="2">
        <v>-166977500</v>
      </c>
      <c r="J15" s="2">
        <f t="shared" si="2"/>
        <v>3887082200</v>
      </c>
      <c r="K15" s="7">
        <f t="shared" si="1"/>
        <v>1500</v>
      </c>
      <c r="L15" s="2">
        <v>1500</v>
      </c>
      <c r="R15" s="8"/>
    </row>
    <row r="16" spans="1:18" ht="15" customHeight="1" x14ac:dyDescent="0.2">
      <c r="A16" s="20" t="s">
        <v>22</v>
      </c>
      <c r="B16" s="21" t="s">
        <v>23</v>
      </c>
      <c r="C16" s="2">
        <v>7</v>
      </c>
      <c r="D16" s="2">
        <v>16</v>
      </c>
      <c r="H16" s="2">
        <v>100.206</v>
      </c>
      <c r="I16" s="2">
        <v>-188000000</v>
      </c>
      <c r="J16" s="2">
        <f t="shared" si="2"/>
        <v>4501430000</v>
      </c>
      <c r="K16" s="7">
        <f t="shared" si="1"/>
        <v>1500</v>
      </c>
      <c r="L16" s="2">
        <v>1500</v>
      </c>
      <c r="R16" s="8"/>
    </row>
    <row r="17" spans="1:18" ht="15" customHeight="1" x14ac:dyDescent="0.2">
      <c r="A17" s="20" t="s">
        <v>24</v>
      </c>
      <c r="B17" s="21" t="s">
        <v>25</v>
      </c>
      <c r="C17" s="2">
        <v>8</v>
      </c>
      <c r="D17" s="2">
        <v>18</v>
      </c>
      <c r="H17" s="2">
        <v>114.233</v>
      </c>
      <c r="I17" s="2">
        <v>-209000000</v>
      </c>
      <c r="J17" s="2">
        <f t="shared" si="2"/>
        <v>5115800300</v>
      </c>
      <c r="K17" s="7">
        <f t="shared" si="1"/>
        <v>1500</v>
      </c>
      <c r="L17" s="2">
        <v>1500</v>
      </c>
      <c r="R17" s="8"/>
    </row>
    <row r="18" spans="1:18" ht="15" customHeight="1" x14ac:dyDescent="0.2">
      <c r="A18" s="20" t="s">
        <v>26</v>
      </c>
      <c r="B18" s="21" t="s">
        <v>27</v>
      </c>
      <c r="C18" s="2">
        <v>2</v>
      </c>
      <c r="D18" s="2">
        <v>2</v>
      </c>
      <c r="H18" s="2">
        <v>26.038</v>
      </c>
      <c r="I18" s="2">
        <v>226751000</v>
      </c>
      <c r="J18" s="2">
        <f t="shared" si="2"/>
        <v>1255653700</v>
      </c>
      <c r="K18" s="7">
        <f t="shared" si="1"/>
        <v>1500</v>
      </c>
      <c r="L18" s="2">
        <v>1500</v>
      </c>
      <c r="R18" s="8"/>
    </row>
    <row r="19" spans="1:18" ht="15" customHeight="1" x14ac:dyDescent="0.2">
      <c r="A19" s="20" t="s">
        <v>28</v>
      </c>
      <c r="B19" s="21" t="s">
        <v>29</v>
      </c>
      <c r="C19" s="2">
        <v>2</v>
      </c>
      <c r="D19" s="2">
        <v>4</v>
      </c>
      <c r="H19" s="2">
        <v>28.054000000000002</v>
      </c>
      <c r="I19" s="2">
        <v>52455400</v>
      </c>
      <c r="J19" s="2">
        <f t="shared" si="2"/>
        <v>1323196000</v>
      </c>
      <c r="K19" s="7">
        <f t="shared" si="1"/>
        <v>1454.7507622345577</v>
      </c>
      <c r="L19" s="5">
        <v>153.54</v>
      </c>
      <c r="M19" s="5">
        <v>5.5210999999999997</v>
      </c>
      <c r="N19" s="5">
        <v>-2.9423000000000001E-3</v>
      </c>
      <c r="O19" s="5">
        <v>6.5565999999999998E-7</v>
      </c>
      <c r="P19" s="5">
        <v>-1.8578000000000001E-11</v>
      </c>
      <c r="R19" s="8"/>
    </row>
    <row r="20" spans="1:18" ht="15" customHeight="1" x14ac:dyDescent="0.2">
      <c r="A20" s="20" t="s">
        <v>30</v>
      </c>
      <c r="B20" s="21" t="s">
        <v>31</v>
      </c>
      <c r="C20" s="2">
        <v>3</v>
      </c>
      <c r="D20" s="2">
        <v>6</v>
      </c>
      <c r="H20" s="2">
        <v>42.81</v>
      </c>
      <c r="I20" s="2">
        <v>20444050</v>
      </c>
      <c r="J20" s="2">
        <f t="shared" si="2"/>
        <v>1926554950</v>
      </c>
      <c r="K20" s="7">
        <f t="shared" si="1"/>
        <v>1223.5075401929962</v>
      </c>
      <c r="L20" s="5">
        <v>-30.856999999999999</v>
      </c>
      <c r="M20" s="5">
        <v>5.1127000000000002</v>
      </c>
      <c r="N20" s="5">
        <v>-1.8623999999999999E-3</v>
      </c>
      <c r="O20" s="5">
        <v>-1.8075E-7</v>
      </c>
      <c r="P20" s="5">
        <v>1.9404999999999999E-10</v>
      </c>
      <c r="R20" s="8"/>
    </row>
    <row r="21" spans="1:18" ht="15" customHeight="1" x14ac:dyDescent="0.2">
      <c r="A21" s="20" t="s">
        <v>32</v>
      </c>
      <c r="B21" s="21" t="s">
        <v>33</v>
      </c>
      <c r="C21" s="2">
        <v>4</v>
      </c>
      <c r="D21" s="2">
        <v>8</v>
      </c>
      <c r="H21" s="2">
        <v>56.107999999999997</v>
      </c>
      <c r="I21" s="2">
        <v>-496195.20000049658</v>
      </c>
      <c r="J21" s="2">
        <f t="shared" si="2"/>
        <v>2540985004.7999997</v>
      </c>
      <c r="K21" s="7">
        <f t="shared" si="1"/>
        <v>1500</v>
      </c>
      <c r="L21" s="2">
        <v>1500</v>
      </c>
      <c r="R21" s="8"/>
    </row>
    <row r="22" spans="1:18" ht="15" customHeight="1" x14ac:dyDescent="0.2">
      <c r="A22" s="20" t="s">
        <v>34</v>
      </c>
      <c r="B22" s="21" t="s">
        <v>35</v>
      </c>
      <c r="C22" s="2">
        <v>5</v>
      </c>
      <c r="D22" s="2">
        <v>10</v>
      </c>
      <c r="H22" s="2">
        <v>70.135000000000005</v>
      </c>
      <c r="I22" s="2">
        <v>-23942579.497908011</v>
      </c>
      <c r="J22" s="2">
        <f t="shared" ref="J22:J27" si="3">ABS(C22*$I$5+D22/2*$I$6+G22*$I$8-I22)</f>
        <v>3152908920.5020919</v>
      </c>
      <c r="K22" s="7">
        <f t="shared" si="1"/>
        <v>1500</v>
      </c>
      <c r="L22" s="2">
        <v>1500</v>
      </c>
      <c r="R22" s="8"/>
    </row>
    <row r="23" spans="1:18" ht="15" customHeight="1" x14ac:dyDescent="0.2">
      <c r="A23" s="20" t="s">
        <v>36</v>
      </c>
      <c r="B23" s="21" t="s">
        <v>37</v>
      </c>
      <c r="C23" s="2">
        <v>6</v>
      </c>
      <c r="D23" s="2">
        <v>12</v>
      </c>
      <c r="H23" s="2">
        <v>84.162999999999997</v>
      </c>
      <c r="I23" s="2">
        <v>-45330288.702929437</v>
      </c>
      <c r="J23" s="2">
        <f t="shared" si="3"/>
        <v>3766891511.2970705</v>
      </c>
      <c r="K23" s="7">
        <f t="shared" si="1"/>
        <v>1500</v>
      </c>
      <c r="L23" s="2">
        <v>1500</v>
      </c>
      <c r="R23" s="8"/>
    </row>
    <row r="24" spans="1:18" ht="15" customHeight="1" x14ac:dyDescent="0.2">
      <c r="A24" s="20" t="s">
        <v>38</v>
      </c>
      <c r="B24" s="21" t="s">
        <v>39</v>
      </c>
      <c r="C24" s="2">
        <v>6</v>
      </c>
      <c r="D24" s="2">
        <v>6</v>
      </c>
      <c r="H24" s="2">
        <v>78.114999999999995</v>
      </c>
      <c r="I24" s="2">
        <v>82887890</v>
      </c>
      <c r="J24" s="2">
        <f t="shared" si="3"/>
        <v>3169595990</v>
      </c>
      <c r="K24" s="7">
        <f t="shared" si="1"/>
        <v>1500</v>
      </c>
      <c r="L24" s="2">
        <v>1500</v>
      </c>
      <c r="R24" s="8"/>
    </row>
    <row r="25" spans="1:18" ht="15" customHeight="1" x14ac:dyDescent="0.2">
      <c r="A25" s="20" t="s">
        <v>40</v>
      </c>
      <c r="B25" s="21" t="s">
        <v>41</v>
      </c>
      <c r="C25" s="2">
        <v>7</v>
      </c>
      <c r="D25" s="2">
        <v>8</v>
      </c>
      <c r="H25" s="2">
        <v>92.141999999999996</v>
      </c>
      <c r="I25" s="2">
        <v>79649191.200000271</v>
      </c>
      <c r="J25" s="2">
        <f t="shared" si="3"/>
        <v>3801727591.2000003</v>
      </c>
      <c r="K25" s="7">
        <f t="shared" si="1"/>
        <v>1500</v>
      </c>
      <c r="L25" s="2">
        <v>1500</v>
      </c>
      <c r="R25" s="8"/>
    </row>
    <row r="26" spans="1:18" ht="15" customHeight="1" x14ac:dyDescent="0.2">
      <c r="A26" s="20" t="s">
        <v>42</v>
      </c>
      <c r="B26" s="21" t="s">
        <v>43</v>
      </c>
      <c r="C26" s="2">
        <v>1</v>
      </c>
      <c r="E26" s="2">
        <v>1</v>
      </c>
      <c r="H26" s="2">
        <v>28.010999999999999</v>
      </c>
      <c r="I26" s="2">
        <v>-110539600</v>
      </c>
      <c r="J26" s="2">
        <f t="shared" si="3"/>
        <v>282992800</v>
      </c>
      <c r="K26" s="7">
        <f t="shared" si="1"/>
        <v>1038.2656554488099</v>
      </c>
      <c r="L26" s="2">
        <v>1046.69</v>
      </c>
      <c r="M26" s="2">
        <v>-0.15684100000000001</v>
      </c>
      <c r="N26" s="2">
        <v>5.3989999999999995E-4</v>
      </c>
      <c r="O26" s="2">
        <v>-3.0106000000000002E-7</v>
      </c>
      <c r="P26" s="2">
        <v>5.0504999999999998E-11</v>
      </c>
      <c r="R26" s="8"/>
    </row>
    <row r="27" spans="1:18" ht="15" customHeight="1" x14ac:dyDescent="0.2">
      <c r="A27" s="22" t="s">
        <v>44</v>
      </c>
      <c r="B27" s="23" t="s">
        <v>45</v>
      </c>
      <c r="C27" s="4"/>
      <c r="D27" s="4">
        <v>2</v>
      </c>
      <c r="E27" s="4"/>
      <c r="F27" s="4"/>
      <c r="G27" s="4">
        <v>1</v>
      </c>
      <c r="H27" s="4">
        <v>34.082000000000001</v>
      </c>
      <c r="I27" s="4">
        <v>-20506430</v>
      </c>
      <c r="J27" s="4">
        <f t="shared" si="3"/>
        <v>518192670</v>
      </c>
      <c r="K27" s="11">
        <f t="shared" si="1"/>
        <v>992.10894808997364</v>
      </c>
      <c r="L27" s="24">
        <v>997.68</v>
      </c>
      <c r="M27" s="24">
        <v>-0.38524000000000003</v>
      </c>
      <c r="N27" s="24">
        <v>1.6477E-3</v>
      </c>
      <c r="O27" s="24">
        <v>-1.2203E-6</v>
      </c>
      <c r="P27" s="24">
        <v>2.9286999999999999E-10</v>
      </c>
      <c r="Q27" s="4"/>
      <c r="R27" s="10"/>
    </row>
    <row r="28" spans="1:18" ht="15" customHeight="1" x14ac:dyDescent="0.2">
      <c r="B28" s="1"/>
    </row>
  </sheetData>
  <mergeCells count="1">
    <mergeCell ref="L2:R2"/>
  </mergeCells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X54"/>
  <sheetViews>
    <sheetView workbookViewId="0">
      <selection activeCell="D28" sqref="D28"/>
    </sheetView>
  </sheetViews>
  <sheetFormatPr baseColWidth="10" defaultColWidth="11.42578125" defaultRowHeight="12.75" x14ac:dyDescent="0.2"/>
  <cols>
    <col min="1" max="1" width="21.85546875" style="27" customWidth="1"/>
    <col min="2" max="2" width="11.42578125" style="26" customWidth="1"/>
    <col min="3" max="3" width="11.42578125" style="27" customWidth="1"/>
    <col min="4" max="4" width="21.85546875" style="27" customWidth="1"/>
    <col min="5" max="5" width="12.85546875" style="26" customWidth="1"/>
    <col min="6" max="20" width="11.42578125" style="27" customWidth="1"/>
    <col min="21" max="21" width="14.85546875" style="27" customWidth="1"/>
    <col min="22" max="22" width="15.5703125" style="27" customWidth="1"/>
    <col min="23" max="23" width="16" style="27" customWidth="1"/>
    <col min="24" max="24" width="16.85546875" style="27" customWidth="1"/>
    <col min="25" max="16384" width="11.42578125" style="27"/>
  </cols>
  <sheetData>
    <row r="1" spans="1:24" ht="13.5" thickBot="1" x14ac:dyDescent="0.25">
      <c r="A1" s="131" t="s">
        <v>80</v>
      </c>
    </row>
    <row r="2" spans="1:24" x14ac:dyDescent="0.2">
      <c r="A2" s="103" t="s">
        <v>111</v>
      </c>
      <c r="B2" s="98" t="s">
        <v>78</v>
      </c>
      <c r="D2" s="73">
        <f>B3/3.6/1000*(VLOOKUP(B2,S5:X26,3)+(B5+273)*VLOOKUP(B2,S5:X26,4)+(B5+273)^2*VLOOKUP(B2,S5:X26,5)+(B5+273)^3*VLOOKUP(B2,S5:X26,6)-(VLOOKUP(B2,S5:X26,3)+(B4+273)*VLOOKUP(B2,S5:X26,4)+(B4+273)^2*VLOOKUP(B2,S5:X26,5)+(B4+273)^3*VLOOKUP(B2,S5:X26,6)))*1000</f>
        <v>1496790.0811645833</v>
      </c>
      <c r="I2" s="102">
        <f>B5</f>
        <v>140</v>
      </c>
    </row>
    <row r="3" spans="1:24" x14ac:dyDescent="0.2">
      <c r="A3" s="99" t="s">
        <v>113</v>
      </c>
      <c r="B3" s="170">
        <v>125</v>
      </c>
    </row>
    <row r="4" spans="1:24" x14ac:dyDescent="0.2">
      <c r="A4" s="99" t="s">
        <v>114</v>
      </c>
      <c r="B4" s="134">
        <v>30</v>
      </c>
      <c r="S4" s="27" t="s">
        <v>85</v>
      </c>
      <c r="T4" s="27" t="s">
        <v>71</v>
      </c>
      <c r="U4" s="27" t="s">
        <v>86</v>
      </c>
      <c r="V4" s="27" t="s">
        <v>87</v>
      </c>
      <c r="W4" s="27" t="s">
        <v>88</v>
      </c>
      <c r="X4" s="27" t="s">
        <v>89</v>
      </c>
    </row>
    <row r="5" spans="1:24" x14ac:dyDescent="0.2">
      <c r="A5" s="99" t="s">
        <v>115</v>
      </c>
      <c r="B5" s="170">
        <v>140</v>
      </c>
      <c r="S5" s="27" t="s">
        <v>78</v>
      </c>
      <c r="T5" s="27">
        <v>7876</v>
      </c>
      <c r="U5" s="27">
        <v>-11086.2</v>
      </c>
      <c r="V5" s="27">
        <v>-149.49</v>
      </c>
      <c r="W5" s="27">
        <v>0.91374900000000003</v>
      </c>
      <c r="X5" s="27">
        <v>-2.9125800000000002E-4</v>
      </c>
    </row>
    <row r="6" spans="1:24" x14ac:dyDescent="0.2">
      <c r="A6" s="99"/>
      <c r="B6" s="100"/>
      <c r="S6" s="27" t="s">
        <v>90</v>
      </c>
      <c r="T6" s="27">
        <v>7861</v>
      </c>
      <c r="U6" s="27">
        <v>-2182.44</v>
      </c>
      <c r="V6" s="27">
        <v>-191.20699999999999</v>
      </c>
      <c r="W6" s="27">
        <v>0.96842899999999998</v>
      </c>
      <c r="X6" s="27">
        <v>-3.10644E-4</v>
      </c>
    </row>
    <row r="7" spans="1:24" x14ac:dyDescent="0.2">
      <c r="A7" s="104" t="s">
        <v>112</v>
      </c>
      <c r="B7" s="100">
        <v>1906597.2222222227</v>
      </c>
      <c r="D7" s="101">
        <f>(B7/1000)*1.2</f>
        <v>2287.916666666667</v>
      </c>
      <c r="S7" s="27" t="s">
        <v>91</v>
      </c>
      <c r="T7" s="27">
        <v>7863</v>
      </c>
      <c r="U7" s="27">
        <v>-2154.92</v>
      </c>
      <c r="V7" s="27">
        <v>-199.36600000000001</v>
      </c>
      <c r="W7" s="27">
        <v>0.99078299999999997</v>
      </c>
      <c r="X7" s="27">
        <v>-3.2210300000000002E-4</v>
      </c>
    </row>
    <row r="8" spans="1:24" ht="13.5" thickBot="1" x14ac:dyDescent="0.25">
      <c r="A8" s="105"/>
      <c r="B8" s="106"/>
      <c r="S8" s="27" t="s">
        <v>92</v>
      </c>
      <c r="T8" s="27">
        <v>7858</v>
      </c>
      <c r="U8" s="27">
        <v>-44543.7</v>
      </c>
      <c r="V8" s="27">
        <v>1.04111</v>
      </c>
      <c r="W8" s="27">
        <v>0.73129</v>
      </c>
      <c r="X8" s="27">
        <v>-2.3884899999999999E-4</v>
      </c>
    </row>
    <row r="9" spans="1:24" x14ac:dyDescent="0.2">
      <c r="S9" s="27" t="s">
        <v>93</v>
      </c>
      <c r="T9" s="27">
        <v>7848</v>
      </c>
      <c r="U9" s="27">
        <v>6207.98</v>
      </c>
      <c r="V9" s="27">
        <v>-242.15100000000001</v>
      </c>
      <c r="W9" s="27">
        <v>1.04939</v>
      </c>
      <c r="X9" s="27">
        <v>-3.4592800000000001E-4</v>
      </c>
    </row>
    <row r="10" spans="1:24" x14ac:dyDescent="0.2">
      <c r="H10" s="28">
        <f>B14</f>
        <v>310</v>
      </c>
      <c r="J10" s="29">
        <f>B15</f>
        <v>261.64874569125845</v>
      </c>
      <c r="K10" s="30"/>
      <c r="S10" s="27" t="s">
        <v>94</v>
      </c>
      <c r="T10" s="27">
        <v>7855</v>
      </c>
      <c r="U10" s="27">
        <v>-5147.21</v>
      </c>
      <c r="V10" s="27">
        <v>-192.32900000000001</v>
      </c>
      <c r="W10" s="27">
        <v>0.999417</v>
      </c>
      <c r="X10" s="27">
        <v>-3.2912399999999997E-4</v>
      </c>
    </row>
    <row r="11" spans="1:24" ht="13.5" thickBot="1" x14ac:dyDescent="0.25">
      <c r="A11" s="107" t="s">
        <v>81</v>
      </c>
      <c r="S11" s="27" t="s">
        <v>95</v>
      </c>
      <c r="T11" s="27">
        <v>7855</v>
      </c>
      <c r="U11" s="27">
        <v>6456.32</v>
      </c>
      <c r="V11" s="27">
        <v>-251.77099999999999</v>
      </c>
      <c r="W11" s="27">
        <v>1.0922499999999999</v>
      </c>
      <c r="X11" s="27">
        <v>-3.6406999999999998E-4</v>
      </c>
    </row>
    <row r="12" spans="1:24" x14ac:dyDescent="0.2">
      <c r="A12" s="103" t="s">
        <v>164</v>
      </c>
      <c r="B12" s="199" t="e">
        <f>#REF!</f>
        <v>#REF!</v>
      </c>
      <c r="C12" s="109"/>
      <c r="D12" s="108" t="s">
        <v>83</v>
      </c>
      <c r="E12" s="110" t="e">
        <f>#REF!</f>
        <v>#REF!</v>
      </c>
      <c r="S12" s="27" t="s">
        <v>96</v>
      </c>
      <c r="T12" s="27">
        <v>7834</v>
      </c>
      <c r="U12" s="27">
        <v>3891.54</v>
      </c>
      <c r="V12" s="27">
        <v>-229.49299999999999</v>
      </c>
      <c r="W12" s="27">
        <v>1.0396000000000001</v>
      </c>
      <c r="X12" s="27">
        <v>-3.4260900000000001E-4</v>
      </c>
    </row>
    <row r="13" spans="1:24" x14ac:dyDescent="0.2">
      <c r="A13" s="104" t="s">
        <v>112</v>
      </c>
      <c r="B13" s="34" t="e">
        <f>((B12/3600)*E16)*(E12*((B14^2)-(B15^2))+(E13*(B14-B15)))*1000</f>
        <v>#REF!</v>
      </c>
      <c r="D13" s="26" t="s">
        <v>84</v>
      </c>
      <c r="E13" s="171" t="e">
        <f>#REF!</f>
        <v>#REF!</v>
      </c>
      <c r="S13" s="27" t="s">
        <v>97</v>
      </c>
      <c r="T13" s="27">
        <v>7854</v>
      </c>
      <c r="U13" s="27">
        <v>-22577.9</v>
      </c>
      <c r="V13" s="27">
        <v>-109.575</v>
      </c>
      <c r="W13" s="27">
        <v>0.88114300000000001</v>
      </c>
      <c r="X13" s="27">
        <v>-2.9494299999999998E-4</v>
      </c>
    </row>
    <row r="14" spans="1:24" x14ac:dyDescent="0.2">
      <c r="A14" s="99" t="s">
        <v>120</v>
      </c>
      <c r="B14" s="26">
        <v>310</v>
      </c>
      <c r="D14" s="26"/>
      <c r="E14" s="111"/>
      <c r="S14" s="27" t="s">
        <v>98</v>
      </c>
      <c r="T14" s="27">
        <v>7859</v>
      </c>
      <c r="U14" s="27">
        <v>-11973.9</v>
      </c>
      <c r="V14" s="27">
        <v>-167.06</v>
      </c>
      <c r="W14" s="27">
        <v>0.97143400000000002</v>
      </c>
      <c r="X14" s="27">
        <v>-3.2423199999999998E-4</v>
      </c>
    </row>
    <row r="15" spans="1:24" x14ac:dyDescent="0.2">
      <c r="A15" s="99" t="s">
        <v>121</v>
      </c>
      <c r="B15" s="116">
        <v>261.64874569125845</v>
      </c>
      <c r="D15" s="26"/>
      <c r="E15" s="100"/>
      <c r="F15" s="26"/>
      <c r="S15" s="27" t="s">
        <v>99</v>
      </c>
      <c r="T15" s="27">
        <v>7851</v>
      </c>
      <c r="U15" s="27">
        <v>-31232.400000000001</v>
      </c>
      <c r="V15" s="27">
        <v>-80.185299999999998</v>
      </c>
      <c r="W15" s="27">
        <v>0.87299099999999996</v>
      </c>
      <c r="X15" s="27">
        <v>-2.9389800000000001E-4</v>
      </c>
    </row>
    <row r="16" spans="1:24" x14ac:dyDescent="0.2">
      <c r="A16" s="99"/>
      <c r="D16" s="27" t="s">
        <v>119</v>
      </c>
      <c r="E16" s="112">
        <v>1.1918446835849665</v>
      </c>
      <c r="S16" s="27" t="s">
        <v>100</v>
      </c>
      <c r="T16" s="27">
        <v>7852</v>
      </c>
      <c r="U16" s="27">
        <v>-27466</v>
      </c>
      <c r="V16" s="27">
        <v>-92.574700000000007</v>
      </c>
      <c r="W16" s="27">
        <v>0.87601600000000002</v>
      </c>
      <c r="X16" s="27">
        <v>-2.9148500000000002E-4</v>
      </c>
    </row>
    <row r="17" spans="1:24" ht="13.5" thickBot="1" x14ac:dyDescent="0.25">
      <c r="A17" s="113" t="s">
        <v>134</v>
      </c>
      <c r="B17" s="114" t="e">
        <f>B7-B13</f>
        <v>#REF!</v>
      </c>
      <c r="C17" s="115"/>
      <c r="D17" s="115"/>
      <c r="E17" s="106"/>
      <c r="S17" s="27" t="s">
        <v>101</v>
      </c>
      <c r="T17" s="27">
        <v>7863</v>
      </c>
      <c r="U17" s="27">
        <v>2401.4499999999998</v>
      </c>
      <c r="V17" s="27">
        <v>-237.87299999999999</v>
      </c>
      <c r="W17" s="27">
        <v>1.0707599999999999</v>
      </c>
      <c r="X17" s="27">
        <v>-3.5920100000000002E-4</v>
      </c>
    </row>
    <row r="18" spans="1:24" x14ac:dyDescent="0.2">
      <c r="S18" s="27" t="s">
        <v>102</v>
      </c>
      <c r="T18" s="27">
        <v>7847</v>
      </c>
      <c r="U18" s="27">
        <v>-11703.9</v>
      </c>
      <c r="V18" s="27">
        <v>-158.34800000000001</v>
      </c>
      <c r="W18" s="27">
        <v>0.95337499999999997</v>
      </c>
      <c r="X18" s="27">
        <v>-3.18828E-4</v>
      </c>
    </row>
    <row r="19" spans="1:24" ht="13.5" thickBot="1" x14ac:dyDescent="0.25">
      <c r="A19" s="33" t="s">
        <v>82</v>
      </c>
      <c r="I19" s="28">
        <f>B4</f>
        <v>30</v>
      </c>
      <c r="S19" s="27" t="s">
        <v>103</v>
      </c>
      <c r="T19" s="27">
        <v>7850</v>
      </c>
      <c r="U19" s="27">
        <v>-4586.78</v>
      </c>
      <c r="V19" s="27">
        <v>-193.89699999999999</v>
      </c>
      <c r="W19" s="27">
        <v>0.98987999999999998</v>
      </c>
      <c r="X19" s="27">
        <v>-3.3059799999999998E-4</v>
      </c>
    </row>
    <row r="20" spans="1:24" x14ac:dyDescent="0.2">
      <c r="A20" s="103" t="s">
        <v>119</v>
      </c>
      <c r="B20" s="197">
        <v>1.23645515099352</v>
      </c>
      <c r="C20" s="117"/>
      <c r="S20" s="27" t="s">
        <v>104</v>
      </c>
      <c r="T20" s="27">
        <v>7729</v>
      </c>
      <c r="U20" s="27">
        <v>-26728.7</v>
      </c>
      <c r="V20" s="27">
        <v>-79.407499999999999</v>
      </c>
      <c r="W20" s="27">
        <v>0.84022300000000005</v>
      </c>
      <c r="X20" s="27">
        <v>-2.7157800000000002E-4</v>
      </c>
    </row>
    <row r="21" spans="1:24" x14ac:dyDescent="0.2">
      <c r="A21" s="99"/>
      <c r="C21" s="118"/>
      <c r="S21" s="27" t="s">
        <v>105</v>
      </c>
      <c r="T21" s="27">
        <v>7877</v>
      </c>
      <c r="U21" s="27">
        <v>-133703</v>
      </c>
      <c r="V21" s="27">
        <v>439.23599999999999</v>
      </c>
      <c r="W21" s="27">
        <v>0.17199700000000001</v>
      </c>
      <c r="X21" s="27">
        <v>-3.9910899999999998E-5</v>
      </c>
    </row>
    <row r="22" spans="1:24" x14ac:dyDescent="0.2">
      <c r="A22" s="99" t="s">
        <v>136</v>
      </c>
      <c r="B22" s="26">
        <v>535</v>
      </c>
      <c r="C22" s="118"/>
      <c r="M22" s="31">
        <f>B22</f>
        <v>535</v>
      </c>
      <c r="S22" s="27" t="s">
        <v>106</v>
      </c>
      <c r="T22" s="27">
        <v>8166</v>
      </c>
      <c r="U22" s="27">
        <v>-133009</v>
      </c>
      <c r="V22" s="27">
        <v>463.88099999999997</v>
      </c>
      <c r="W22" s="27">
        <v>7.6762300000000006E-2</v>
      </c>
      <c r="X22" s="27">
        <v>-1.03498E-5</v>
      </c>
    </row>
    <row r="23" spans="1:24" x14ac:dyDescent="0.2">
      <c r="A23" s="99" t="s">
        <v>137</v>
      </c>
      <c r="B23" s="124">
        <v>364.56708092517647</v>
      </c>
      <c r="C23" s="118"/>
      <c r="S23" s="27" t="s">
        <v>107</v>
      </c>
      <c r="T23" s="27">
        <v>7921</v>
      </c>
      <c r="U23" s="27">
        <v>-120931</v>
      </c>
      <c r="V23" s="27">
        <v>399.80200000000002</v>
      </c>
      <c r="W23" s="27">
        <v>0.175952</v>
      </c>
      <c r="X23" s="27">
        <v>-3.8554099999999997E-5</v>
      </c>
    </row>
    <row r="24" spans="1:24" x14ac:dyDescent="0.2">
      <c r="A24" s="99" t="s">
        <v>118</v>
      </c>
      <c r="B24" s="36" t="e">
        <f>#REF!</f>
        <v>#REF!</v>
      </c>
      <c r="C24" s="118"/>
      <c r="S24" s="27" t="s">
        <v>108</v>
      </c>
      <c r="T24" s="27">
        <v>7749</v>
      </c>
      <c r="U24" s="27">
        <v>-42301.3</v>
      </c>
      <c r="V24" s="27">
        <v>-17.238099999999999</v>
      </c>
      <c r="W24" s="27">
        <v>0.76027100000000003</v>
      </c>
      <c r="X24" s="27">
        <v>-2.4740299999999999E-4</v>
      </c>
    </row>
    <row r="25" spans="1:24" x14ac:dyDescent="0.2">
      <c r="A25" s="99" t="s">
        <v>112</v>
      </c>
      <c r="B25" s="26" t="e">
        <f>(((B24/3600)*B20)*(B26*(B22^2-B23^2)+B27*(B22-B23)))*1000</f>
        <v>#REF!</v>
      </c>
      <c r="C25" s="118"/>
      <c r="D25" s="26"/>
      <c r="S25" s="27" t="s">
        <v>109</v>
      </c>
      <c r="T25" s="27">
        <v>7745</v>
      </c>
      <c r="U25" s="27">
        <v>-14777</v>
      </c>
      <c r="V25" s="27">
        <v>-145.01599999999999</v>
      </c>
      <c r="W25" s="27">
        <v>0.91833100000000001</v>
      </c>
      <c r="X25" s="27">
        <v>-2.98311E-4</v>
      </c>
    </row>
    <row r="26" spans="1:24" x14ac:dyDescent="0.2">
      <c r="A26" s="99" t="s">
        <v>83</v>
      </c>
      <c r="B26" s="35" t="e">
        <f>#REF!</f>
        <v>#REF!</v>
      </c>
      <c r="C26" s="118"/>
      <c r="S26" s="27" t="s">
        <v>110</v>
      </c>
      <c r="T26" s="27">
        <v>8696</v>
      </c>
      <c r="U26" s="27">
        <v>-42765.9</v>
      </c>
      <c r="V26" s="27">
        <v>45.152799999999999</v>
      </c>
      <c r="W26" s="27">
        <v>0.52592700000000003</v>
      </c>
      <c r="X26" s="27">
        <v>-1.51521E-4</v>
      </c>
    </row>
    <row r="27" spans="1:24" x14ac:dyDescent="0.2">
      <c r="A27" s="99" t="s">
        <v>84</v>
      </c>
      <c r="B27" s="35" t="e">
        <f>#REF!</f>
        <v>#REF!</v>
      </c>
      <c r="C27" s="118"/>
    </row>
    <row r="28" spans="1:24" x14ac:dyDescent="0.2">
      <c r="A28" s="99"/>
      <c r="C28" s="118"/>
      <c r="J28" s="32">
        <f>B23</f>
        <v>364.56708092517647</v>
      </c>
    </row>
    <row r="29" spans="1:24" x14ac:dyDescent="0.2">
      <c r="A29" s="99"/>
      <c r="C29" s="118"/>
      <c r="S29" s="27" t="s">
        <v>141</v>
      </c>
    </row>
    <row r="30" spans="1:24" x14ac:dyDescent="0.2">
      <c r="A30" s="99" t="s">
        <v>116</v>
      </c>
      <c r="B30" s="26">
        <v>0.98</v>
      </c>
      <c r="C30" s="118"/>
      <c r="H30" s="74">
        <f>B37</f>
        <v>99</v>
      </c>
      <c r="L30" s="31">
        <f>B38</f>
        <v>140</v>
      </c>
      <c r="S30" s="27" t="s">
        <v>77</v>
      </c>
      <c r="T30" s="27" t="s">
        <v>79</v>
      </c>
      <c r="U30" s="27" t="s">
        <v>142</v>
      </c>
    </row>
    <row r="31" spans="1:24" ht="13.5" thickBot="1" x14ac:dyDescent="0.25">
      <c r="A31" s="119" t="s">
        <v>140</v>
      </c>
      <c r="B31" s="114" t="e">
        <f>(B7/B30)-B25</f>
        <v>#REF!</v>
      </c>
      <c r="C31" s="120"/>
      <c r="S31" s="27">
        <v>273</v>
      </c>
      <c r="T31" s="27">
        <f t="shared" ref="T31:T39" si="0">S31-273</f>
        <v>0</v>
      </c>
      <c r="U31" s="27">
        <v>4218</v>
      </c>
    </row>
    <row r="32" spans="1:24" x14ac:dyDescent="0.2">
      <c r="B32" s="37"/>
      <c r="S32" s="27">
        <v>313</v>
      </c>
      <c r="T32" s="27">
        <f t="shared" si="0"/>
        <v>40</v>
      </c>
      <c r="U32" s="27">
        <v>4178</v>
      </c>
    </row>
    <row r="33" spans="1:21" x14ac:dyDescent="0.2">
      <c r="H33" s="198" t="s">
        <v>396</v>
      </c>
      <c r="I33" s="27">
        <f>B36</f>
        <v>120</v>
      </c>
      <c r="S33" s="27">
        <v>353</v>
      </c>
      <c r="T33" s="27">
        <f t="shared" si="0"/>
        <v>80</v>
      </c>
      <c r="U33" s="27">
        <v>4196</v>
      </c>
    </row>
    <row r="34" spans="1:21" ht="13.5" thickBot="1" x14ac:dyDescent="0.25">
      <c r="A34" s="132" t="s">
        <v>135</v>
      </c>
      <c r="H34" s="26" t="s">
        <v>383</v>
      </c>
      <c r="S34" s="27">
        <v>373</v>
      </c>
      <c r="T34" s="27">
        <f t="shared" si="0"/>
        <v>100</v>
      </c>
      <c r="U34" s="27">
        <v>4216</v>
      </c>
    </row>
    <row r="35" spans="1:21" x14ac:dyDescent="0.2">
      <c r="A35" s="103"/>
      <c r="B35" s="108"/>
      <c r="C35" s="117"/>
      <c r="J35" s="75"/>
      <c r="S35" s="27">
        <v>393</v>
      </c>
      <c r="T35" s="27">
        <f t="shared" si="0"/>
        <v>120</v>
      </c>
      <c r="U35" s="27">
        <v>4250</v>
      </c>
    </row>
    <row r="36" spans="1:21" x14ac:dyDescent="0.2">
      <c r="A36" s="99" t="s">
        <v>143</v>
      </c>
      <c r="B36" s="26">
        <v>120</v>
      </c>
      <c r="C36" s="118"/>
      <c r="S36" s="27">
        <v>413</v>
      </c>
      <c r="T36" s="27">
        <f t="shared" si="0"/>
        <v>140</v>
      </c>
      <c r="U36" s="27">
        <v>4283</v>
      </c>
    </row>
    <row r="37" spans="1:21" x14ac:dyDescent="0.2">
      <c r="A37" s="99" t="s">
        <v>138</v>
      </c>
      <c r="B37" s="26">
        <v>99</v>
      </c>
      <c r="C37" s="118"/>
      <c r="S37" s="27">
        <v>433</v>
      </c>
      <c r="T37" s="27">
        <f t="shared" si="0"/>
        <v>160</v>
      </c>
      <c r="U37" s="27">
        <v>4342</v>
      </c>
    </row>
    <row r="38" spans="1:21" x14ac:dyDescent="0.2">
      <c r="A38" s="99" t="s">
        <v>139</v>
      </c>
      <c r="B38" s="26">
        <v>140</v>
      </c>
      <c r="C38" s="118"/>
      <c r="S38" s="27">
        <v>453</v>
      </c>
      <c r="T38" s="27">
        <f t="shared" si="0"/>
        <v>180</v>
      </c>
      <c r="U38" s="27">
        <v>4417</v>
      </c>
    </row>
    <row r="39" spans="1:21" x14ac:dyDescent="0.2">
      <c r="A39" s="99" t="s">
        <v>112</v>
      </c>
      <c r="B39" s="26">
        <f>((B41/3)*(B38^3-B37^3)+(B42/2)*(B38^2-B37^2)+B43*(B38-B37))*1000*(B36/3600)</f>
        <v>5804130.4743555542</v>
      </c>
      <c r="C39" s="118"/>
      <c r="S39" s="27">
        <v>473</v>
      </c>
      <c r="T39" s="27">
        <f t="shared" si="0"/>
        <v>200</v>
      </c>
      <c r="U39" s="27">
        <v>4505</v>
      </c>
    </row>
    <row r="40" spans="1:21" x14ac:dyDescent="0.2">
      <c r="A40" s="99"/>
      <c r="C40" s="118"/>
      <c r="J40" s="32">
        <f>B50</f>
        <v>158.35493747334738</v>
      </c>
    </row>
    <row r="41" spans="1:21" x14ac:dyDescent="0.2">
      <c r="A41" s="99" t="s">
        <v>83</v>
      </c>
      <c r="B41" s="35">
        <v>1.4692E-2</v>
      </c>
      <c r="C41" s="118"/>
    </row>
    <row r="42" spans="1:21" x14ac:dyDescent="0.2">
      <c r="A42" s="99" t="s">
        <v>84</v>
      </c>
      <c r="B42" s="26">
        <v>-1.5384</v>
      </c>
      <c r="C42" s="118"/>
    </row>
    <row r="43" spans="1:21" x14ac:dyDescent="0.2">
      <c r="A43" s="99" t="s">
        <v>117</v>
      </c>
      <c r="B43" s="35">
        <v>4218.8999999999996</v>
      </c>
      <c r="C43" s="118"/>
    </row>
    <row r="44" spans="1:21" ht="13.5" thickBot="1" x14ac:dyDescent="0.25">
      <c r="A44" s="105"/>
      <c r="B44" s="121"/>
      <c r="C44" s="120"/>
    </row>
    <row r="47" spans="1:21" ht="13.5" thickBot="1" x14ac:dyDescent="0.25">
      <c r="A47" s="122" t="s">
        <v>144</v>
      </c>
    </row>
    <row r="48" spans="1:21" x14ac:dyDescent="0.2">
      <c r="A48" s="103"/>
      <c r="B48" s="108"/>
      <c r="C48" s="117"/>
    </row>
    <row r="49" spans="1:3" x14ac:dyDescent="0.2">
      <c r="A49" s="99" t="s">
        <v>136</v>
      </c>
      <c r="B49" s="34">
        <f>B23</f>
        <v>364.56708092517647</v>
      </c>
      <c r="C49" s="118"/>
    </row>
    <row r="50" spans="1:3" x14ac:dyDescent="0.2">
      <c r="A50" s="99" t="s">
        <v>137</v>
      </c>
      <c r="B50" s="124">
        <v>158.35493747334738</v>
      </c>
      <c r="C50" s="118"/>
    </row>
    <row r="51" spans="1:3" x14ac:dyDescent="0.2">
      <c r="A51" s="99" t="s">
        <v>112</v>
      </c>
      <c r="B51" s="26" t="e">
        <f>(((B24/3600)*B20)*(B26*(B49^2-B50^2)+B27*(B49-B50)))*1000</f>
        <v>#REF!</v>
      </c>
      <c r="C51" s="118"/>
    </row>
    <row r="52" spans="1:3" x14ac:dyDescent="0.2">
      <c r="A52" s="99" t="s">
        <v>128</v>
      </c>
      <c r="B52" s="26">
        <v>0.98</v>
      </c>
      <c r="C52" s="118"/>
    </row>
    <row r="53" spans="1:3" x14ac:dyDescent="0.2">
      <c r="A53" s="123" t="s">
        <v>145</v>
      </c>
      <c r="B53" s="34" t="e">
        <f>(B39/B52)-B51</f>
        <v>#REF!</v>
      </c>
      <c r="C53" s="118"/>
    </row>
    <row r="54" spans="1:3" ht="13.5" thickBot="1" x14ac:dyDescent="0.25">
      <c r="A54" s="105"/>
      <c r="B54" s="121"/>
      <c r="C54" s="120"/>
    </row>
  </sheetData>
  <phoneticPr fontId="1" type="noConversion"/>
  <dataValidations count="1">
    <dataValidation type="list" allowBlank="1" showInputMessage="1" showErrorMessage="1" sqref="B2" xr:uid="{00000000-0002-0000-0500-000000000000}">
      <formula1>$S$5:$S$26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33" r:id="rId4" name="CommandButton1">
          <controlPr defaultSize="0" autoLine="0" r:id="rId5">
            <anchor moveWithCells="1">
              <from>
                <xdr:col>2</xdr:col>
                <xdr:colOff>66675</xdr:colOff>
                <xdr:row>5</xdr:row>
                <xdr:rowOff>76200</xdr:rowOff>
              </from>
              <to>
                <xdr:col>2</xdr:col>
                <xdr:colOff>514350</xdr:colOff>
                <xdr:row>7</xdr:row>
                <xdr:rowOff>19050</xdr:rowOff>
              </to>
            </anchor>
          </controlPr>
        </control>
      </mc:Choice>
      <mc:Fallback>
        <control shapeId="413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5783D-572A-4C02-9163-122869418FDB}">
  <sheetPr codeName="Feuil3"/>
  <dimension ref="C1:K3"/>
  <sheetViews>
    <sheetView workbookViewId="0">
      <selection activeCell="I16" sqref="I16"/>
    </sheetView>
  </sheetViews>
  <sheetFormatPr baseColWidth="10" defaultRowHeight="12.75" x14ac:dyDescent="0.2"/>
  <cols>
    <col min="9" max="9" width="14.5703125" bestFit="1" customWidth="1"/>
  </cols>
  <sheetData>
    <row r="1" spans="3:11" x14ac:dyDescent="0.2">
      <c r="C1" s="313" t="s">
        <v>486</v>
      </c>
      <c r="D1" s="313" t="s">
        <v>847</v>
      </c>
      <c r="E1" t="s">
        <v>848</v>
      </c>
      <c r="F1" s="313" t="s">
        <v>849</v>
      </c>
      <c r="G1" s="313" t="s">
        <v>850</v>
      </c>
      <c r="H1" s="313" t="s">
        <v>851</v>
      </c>
      <c r="I1" s="313" t="s">
        <v>852</v>
      </c>
      <c r="J1" s="313" t="s">
        <v>853</v>
      </c>
      <c r="K1" s="313" t="s">
        <v>854</v>
      </c>
    </row>
    <row r="2" spans="3:11" x14ac:dyDescent="0.2">
      <c r="C2" s="313" t="s">
        <v>487</v>
      </c>
      <c r="D2" s="313" t="s">
        <v>855</v>
      </c>
      <c r="E2" t="s">
        <v>856</v>
      </c>
      <c r="F2" s="313" t="s">
        <v>857</v>
      </c>
      <c r="G2" s="313" t="s">
        <v>858</v>
      </c>
      <c r="H2" s="313" t="s">
        <v>859</v>
      </c>
      <c r="I2" s="313" t="s">
        <v>860</v>
      </c>
      <c r="J2" s="313" t="s">
        <v>861</v>
      </c>
      <c r="K2" s="313" t="s">
        <v>862</v>
      </c>
    </row>
    <row r="3" spans="3:11" x14ac:dyDescent="0.2">
      <c r="G3" t="s">
        <v>863</v>
      </c>
      <c r="H3" t="s">
        <v>864</v>
      </c>
      <c r="I3" s="313" t="s">
        <v>865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2DAF3-F068-4B0D-BC3E-B80F8F199D1C}">
  <sheetPr codeName="Feuil15"/>
  <dimension ref="A1:W31"/>
  <sheetViews>
    <sheetView workbookViewId="0">
      <selection activeCell="I38" sqref="I38:L39"/>
    </sheetView>
  </sheetViews>
  <sheetFormatPr baseColWidth="10" defaultColWidth="11.42578125" defaultRowHeight="12.75" x14ac:dyDescent="0.2"/>
  <cols>
    <col min="1" max="16384" width="11.42578125" style="389"/>
  </cols>
  <sheetData>
    <row r="1" spans="1:23" s="385" customFormat="1" x14ac:dyDescent="0.2">
      <c r="A1" s="383">
        <v>29</v>
      </c>
      <c r="B1" s="384" t="s">
        <v>132</v>
      </c>
    </row>
    <row r="2" spans="1:23" s="386" customFormat="1" x14ac:dyDescent="0.2">
      <c r="A2" s="386">
        <v>22</v>
      </c>
      <c r="B2" s="386" t="s">
        <v>78</v>
      </c>
      <c r="C2" s="386" t="s">
        <v>90</v>
      </c>
      <c r="D2" s="386" t="s">
        <v>91</v>
      </c>
      <c r="E2" s="386" t="s">
        <v>92</v>
      </c>
      <c r="F2" s="386" t="s">
        <v>93</v>
      </c>
      <c r="G2" s="386" t="s">
        <v>94</v>
      </c>
      <c r="H2" s="386" t="s">
        <v>95</v>
      </c>
      <c r="I2" s="386" t="s">
        <v>96</v>
      </c>
      <c r="J2" s="386" t="s">
        <v>97</v>
      </c>
      <c r="K2" s="386" t="s">
        <v>98</v>
      </c>
      <c r="L2" s="386" t="s">
        <v>99</v>
      </c>
      <c r="M2" s="386" t="s">
        <v>100</v>
      </c>
      <c r="N2" s="386" t="s">
        <v>101</v>
      </c>
      <c r="O2" s="386" t="s">
        <v>102</v>
      </c>
      <c r="P2" s="386" t="s">
        <v>103</v>
      </c>
      <c r="Q2" s="386" t="s">
        <v>104</v>
      </c>
      <c r="R2" s="386" t="s">
        <v>105</v>
      </c>
      <c r="S2" s="386" t="s">
        <v>106</v>
      </c>
      <c r="T2" s="386" t="s">
        <v>107</v>
      </c>
      <c r="U2" s="386" t="s">
        <v>108</v>
      </c>
      <c r="V2" s="386" t="s">
        <v>109</v>
      </c>
      <c r="W2" s="386" t="s">
        <v>110</v>
      </c>
    </row>
    <row r="3" spans="1:23" x14ac:dyDescent="0.2">
      <c r="A3" s="387">
        <v>253</v>
      </c>
      <c r="B3" s="388">
        <v>65.302000000000007</v>
      </c>
      <c r="C3" s="388">
        <v>59.442</v>
      </c>
      <c r="D3" s="388">
        <v>51.906999999999996</v>
      </c>
      <c r="E3" s="388">
        <v>51.906999999999996</v>
      </c>
      <c r="F3" s="388">
        <v>48.14</v>
      </c>
      <c r="G3" s="388">
        <v>49.814</v>
      </c>
      <c r="H3" s="388">
        <v>51.07</v>
      </c>
      <c r="I3" s="388">
        <v>45.209000000000003</v>
      </c>
      <c r="J3" s="388">
        <v>46.046999999999997</v>
      </c>
      <c r="K3" s="388">
        <v>36.418999999999997</v>
      </c>
      <c r="L3" s="388">
        <v>34.326000000000001</v>
      </c>
      <c r="M3" s="388">
        <v>33.488</v>
      </c>
      <c r="N3" s="388">
        <v>33.07</v>
      </c>
      <c r="O3" s="388">
        <v>48.558</v>
      </c>
      <c r="P3" s="388">
        <v>43.116</v>
      </c>
      <c r="Q3" s="388">
        <v>25.116</v>
      </c>
      <c r="R3" s="388">
        <v>12.977</v>
      </c>
      <c r="S3" s="388">
        <v>12.558</v>
      </c>
      <c r="T3" s="388">
        <v>15.907</v>
      </c>
      <c r="U3" s="388">
        <v>26.791</v>
      </c>
      <c r="V3" s="388">
        <v>25.116</v>
      </c>
      <c r="W3" s="388">
        <v>24.279</v>
      </c>
    </row>
    <row r="4" spans="1:23" x14ac:dyDescent="0.2">
      <c r="A4" s="387">
        <v>323</v>
      </c>
      <c r="B4" s="388">
        <v>62.790999999999997</v>
      </c>
      <c r="C4" s="388">
        <v>58.604999999999997</v>
      </c>
      <c r="D4" s="388">
        <v>51.488</v>
      </c>
      <c r="E4" s="388">
        <v>51.488</v>
      </c>
      <c r="F4" s="388">
        <v>48.14</v>
      </c>
      <c r="G4" s="388">
        <v>49.395000000000003</v>
      </c>
      <c r="H4" s="388">
        <v>50.232999999999997</v>
      </c>
      <c r="I4" s="388">
        <v>45.209000000000003</v>
      </c>
      <c r="J4" s="388">
        <v>46.046999999999997</v>
      </c>
      <c r="K4" s="388">
        <v>37.256</v>
      </c>
      <c r="L4" s="388">
        <v>35.162999999999997</v>
      </c>
      <c r="M4" s="388">
        <v>34.744</v>
      </c>
      <c r="N4" s="388">
        <v>33.488</v>
      </c>
      <c r="O4" s="388">
        <v>47.720999999999997</v>
      </c>
      <c r="P4" s="388">
        <v>42.698</v>
      </c>
      <c r="Q4" s="388">
        <v>26.791</v>
      </c>
      <c r="R4" s="388">
        <v>13.814</v>
      </c>
      <c r="S4" s="388">
        <v>13.814</v>
      </c>
      <c r="T4" s="388">
        <v>15.907</v>
      </c>
      <c r="U4" s="388">
        <v>27.209</v>
      </c>
      <c r="V4" s="388">
        <v>25.954000000000001</v>
      </c>
      <c r="W4" s="388">
        <v>25.116</v>
      </c>
    </row>
    <row r="5" spans="1:23" x14ac:dyDescent="0.2">
      <c r="A5" s="387">
        <v>373</v>
      </c>
      <c r="B5" s="388">
        <v>60.279000000000003</v>
      </c>
      <c r="C5" s="388">
        <v>57.767000000000003</v>
      </c>
      <c r="D5" s="388">
        <v>51.07</v>
      </c>
      <c r="E5" s="388">
        <v>50.651000000000003</v>
      </c>
      <c r="F5" s="388">
        <v>48.14</v>
      </c>
      <c r="G5" s="388">
        <v>48.14</v>
      </c>
      <c r="H5" s="388">
        <v>48.976999999999997</v>
      </c>
      <c r="I5" s="388">
        <v>44.790999999999997</v>
      </c>
      <c r="J5" s="388">
        <v>46.465000000000003</v>
      </c>
      <c r="K5" s="388">
        <v>37.673999999999999</v>
      </c>
      <c r="L5" s="388">
        <v>36</v>
      </c>
      <c r="M5" s="388">
        <v>35.581000000000003</v>
      </c>
      <c r="N5" s="388">
        <v>33.906999999999996</v>
      </c>
      <c r="O5" s="388">
        <v>46.465000000000003</v>
      </c>
      <c r="P5" s="388">
        <v>42.698</v>
      </c>
      <c r="Q5" s="388">
        <v>28.465</v>
      </c>
      <c r="R5" s="388">
        <v>14.651</v>
      </c>
      <c r="S5" s="388">
        <v>14.651</v>
      </c>
      <c r="T5" s="388">
        <v>16.326000000000001</v>
      </c>
      <c r="U5" s="388">
        <v>27.628</v>
      </c>
      <c r="V5" s="388">
        <v>26.372</v>
      </c>
      <c r="W5" s="388">
        <v>25.954000000000001</v>
      </c>
    </row>
    <row r="6" spans="1:23" x14ac:dyDescent="0.2">
      <c r="A6" s="387">
        <v>423</v>
      </c>
      <c r="B6" s="388">
        <v>57.767000000000003</v>
      </c>
      <c r="C6" s="388">
        <v>55.256</v>
      </c>
      <c r="D6" s="388">
        <v>49.814</v>
      </c>
      <c r="E6" s="388">
        <v>49.814</v>
      </c>
      <c r="F6" s="388">
        <v>47.720999999999997</v>
      </c>
      <c r="G6" s="388">
        <v>46.884</v>
      </c>
      <c r="H6" s="388">
        <v>47.720999999999997</v>
      </c>
      <c r="I6" s="388">
        <v>44.790999999999997</v>
      </c>
      <c r="J6" s="388">
        <v>45.628</v>
      </c>
      <c r="K6" s="388">
        <v>38.093000000000004</v>
      </c>
      <c r="L6" s="388">
        <v>36.418999999999997</v>
      </c>
      <c r="M6" s="388">
        <v>36</v>
      </c>
      <c r="N6" s="388">
        <v>34.744</v>
      </c>
      <c r="O6" s="388">
        <v>45.209000000000003</v>
      </c>
      <c r="P6" s="388">
        <v>42.279000000000003</v>
      </c>
      <c r="Q6" s="388">
        <v>29.302</v>
      </c>
      <c r="R6" s="388">
        <v>15.488</v>
      </c>
      <c r="S6" s="388">
        <v>15.488</v>
      </c>
      <c r="T6" s="388">
        <v>16.744</v>
      </c>
      <c r="U6" s="388">
        <v>27.628</v>
      </c>
      <c r="V6" s="388">
        <v>26.791</v>
      </c>
      <c r="W6" s="388">
        <v>26.791</v>
      </c>
    </row>
    <row r="7" spans="1:23" x14ac:dyDescent="0.2">
      <c r="A7" s="387">
        <v>473</v>
      </c>
      <c r="B7" s="388">
        <v>55.673999999999999</v>
      </c>
      <c r="C7" s="388">
        <v>53.581000000000003</v>
      </c>
      <c r="D7" s="388">
        <v>48.558</v>
      </c>
      <c r="E7" s="388">
        <v>48.14</v>
      </c>
      <c r="F7" s="388">
        <v>46.465000000000003</v>
      </c>
      <c r="G7" s="388">
        <v>45.209000000000003</v>
      </c>
      <c r="H7" s="388">
        <v>46.046999999999997</v>
      </c>
      <c r="I7" s="388">
        <v>42.698</v>
      </c>
      <c r="J7" s="388">
        <v>44.790999999999997</v>
      </c>
      <c r="K7" s="388">
        <v>38.512</v>
      </c>
      <c r="L7" s="388">
        <v>36.837000000000003</v>
      </c>
      <c r="M7" s="388">
        <v>36.418999999999997</v>
      </c>
      <c r="N7" s="388">
        <v>35.162999999999997</v>
      </c>
      <c r="O7" s="388">
        <v>44.372</v>
      </c>
      <c r="P7" s="388">
        <v>41.860999999999997</v>
      </c>
      <c r="Q7" s="388">
        <v>30.14</v>
      </c>
      <c r="R7" s="388">
        <v>16.326000000000001</v>
      </c>
      <c r="S7" s="388">
        <v>16.326000000000001</v>
      </c>
      <c r="T7" s="388">
        <v>17.163</v>
      </c>
      <c r="U7" s="388">
        <v>27.628</v>
      </c>
      <c r="V7" s="388">
        <v>27.209</v>
      </c>
      <c r="W7" s="388">
        <v>27.209</v>
      </c>
    </row>
    <row r="8" spans="1:23" x14ac:dyDescent="0.2">
      <c r="A8" s="387">
        <v>523</v>
      </c>
      <c r="B8" s="388">
        <v>53.162999999999997</v>
      </c>
      <c r="C8" s="388">
        <v>51.488</v>
      </c>
      <c r="D8" s="388">
        <v>46.465000000000003</v>
      </c>
      <c r="E8" s="388">
        <v>46.884</v>
      </c>
      <c r="F8" s="388">
        <v>45.209000000000003</v>
      </c>
      <c r="G8" s="388">
        <v>43.116</v>
      </c>
      <c r="H8" s="388">
        <v>43.954000000000001</v>
      </c>
      <c r="I8" s="388">
        <v>41.023000000000003</v>
      </c>
      <c r="J8" s="388">
        <v>43.954000000000001</v>
      </c>
      <c r="K8" s="388">
        <v>39.348999999999997</v>
      </c>
      <c r="L8" s="388">
        <v>36.837000000000003</v>
      </c>
      <c r="M8" s="388">
        <v>36.418999999999997</v>
      </c>
      <c r="N8" s="388">
        <v>35.581000000000003</v>
      </c>
      <c r="O8" s="388">
        <v>43.534999999999997</v>
      </c>
      <c r="P8" s="388">
        <v>41.442</v>
      </c>
      <c r="Q8" s="388">
        <v>30.977</v>
      </c>
      <c r="R8" s="388">
        <v>17.163</v>
      </c>
      <c r="S8" s="388">
        <v>16.744</v>
      </c>
      <c r="T8" s="388">
        <v>17.581</v>
      </c>
      <c r="U8" s="388">
        <v>28.047000000000001</v>
      </c>
      <c r="V8" s="388">
        <v>27.209</v>
      </c>
      <c r="W8" s="388">
        <v>27.628</v>
      </c>
    </row>
    <row r="9" spans="1:23" x14ac:dyDescent="0.2">
      <c r="A9" s="387">
        <v>573</v>
      </c>
      <c r="B9" s="388">
        <v>51.07</v>
      </c>
      <c r="C9" s="388">
        <v>49.395000000000003</v>
      </c>
      <c r="D9" s="388">
        <v>44.372</v>
      </c>
      <c r="E9" s="388">
        <v>45.628</v>
      </c>
      <c r="F9" s="388">
        <v>43.954000000000001</v>
      </c>
      <c r="G9" s="388">
        <v>41.442</v>
      </c>
      <c r="H9" s="388">
        <v>41.860999999999997</v>
      </c>
      <c r="I9" s="388">
        <v>40.186</v>
      </c>
      <c r="J9" s="388">
        <v>43.116</v>
      </c>
      <c r="K9" s="388">
        <v>38.093000000000004</v>
      </c>
      <c r="L9" s="388">
        <v>36.837000000000003</v>
      </c>
      <c r="M9" s="388">
        <v>36.418999999999997</v>
      </c>
      <c r="N9" s="388">
        <v>35.581000000000003</v>
      </c>
      <c r="O9" s="388">
        <v>42.279000000000003</v>
      </c>
      <c r="P9" s="388">
        <v>40.604999999999997</v>
      </c>
      <c r="Q9" s="388">
        <v>30.977</v>
      </c>
      <c r="R9" s="388">
        <v>18</v>
      </c>
      <c r="S9" s="388">
        <v>17.581</v>
      </c>
      <c r="T9" s="388">
        <v>18.419</v>
      </c>
      <c r="U9" s="388">
        <v>28.047000000000001</v>
      </c>
      <c r="V9" s="388">
        <v>27.628</v>
      </c>
      <c r="W9" s="388">
        <v>28.047000000000001</v>
      </c>
    </row>
    <row r="10" spans="1:23" x14ac:dyDescent="0.2">
      <c r="A10" s="387">
        <v>623</v>
      </c>
      <c r="B10" s="388">
        <v>48.558</v>
      </c>
      <c r="C10" s="388">
        <v>47.720999999999997</v>
      </c>
      <c r="D10" s="388">
        <v>43.534999999999997</v>
      </c>
      <c r="E10" s="388">
        <v>44.372</v>
      </c>
      <c r="F10" s="388">
        <v>43.116</v>
      </c>
      <c r="G10" s="388">
        <v>40.186</v>
      </c>
      <c r="H10" s="388">
        <v>40.186</v>
      </c>
      <c r="I10" s="388">
        <v>38.512</v>
      </c>
      <c r="J10" s="388">
        <v>41.442</v>
      </c>
      <c r="K10" s="388">
        <v>37.256</v>
      </c>
      <c r="L10" s="388">
        <v>36.837000000000003</v>
      </c>
      <c r="M10" s="388">
        <v>36.418999999999997</v>
      </c>
      <c r="N10" s="388">
        <v>35.581000000000003</v>
      </c>
      <c r="O10" s="388">
        <v>40.604999999999997</v>
      </c>
      <c r="P10" s="388">
        <v>39.767000000000003</v>
      </c>
      <c r="Q10" s="388">
        <v>30.977</v>
      </c>
      <c r="R10" s="388">
        <v>18.837</v>
      </c>
      <c r="S10" s="388">
        <v>18.419</v>
      </c>
      <c r="T10" s="388">
        <v>19.256</v>
      </c>
      <c r="U10" s="388">
        <v>28.047000000000001</v>
      </c>
      <c r="V10" s="388">
        <v>27.628</v>
      </c>
      <c r="W10" s="388">
        <v>28.465</v>
      </c>
    </row>
    <row r="11" spans="1:23" x14ac:dyDescent="0.2">
      <c r="A11" s="387">
        <v>673</v>
      </c>
      <c r="B11" s="388">
        <v>46.465000000000003</v>
      </c>
      <c r="C11" s="388">
        <v>44.790999999999997</v>
      </c>
      <c r="D11" s="388">
        <v>42.698</v>
      </c>
      <c r="E11" s="388">
        <v>41.860999999999997</v>
      </c>
      <c r="F11" s="388">
        <v>41.023000000000003</v>
      </c>
      <c r="G11" s="388">
        <v>38.093000000000004</v>
      </c>
      <c r="H11" s="388">
        <v>38.512</v>
      </c>
      <c r="I11" s="388">
        <v>37.256</v>
      </c>
      <c r="J11" s="388">
        <v>40.186</v>
      </c>
      <c r="K11" s="388">
        <v>36.418999999999997</v>
      </c>
      <c r="L11" s="388">
        <v>36.418999999999997</v>
      </c>
      <c r="M11" s="388">
        <v>36.418999999999997</v>
      </c>
      <c r="N11" s="388">
        <v>35.581000000000003</v>
      </c>
      <c r="O11" s="388">
        <v>38.512</v>
      </c>
      <c r="P11" s="388">
        <v>38.93</v>
      </c>
      <c r="Q11" s="388">
        <v>30.977</v>
      </c>
      <c r="R11" s="388">
        <v>19.256</v>
      </c>
      <c r="S11" s="388">
        <v>18.837</v>
      </c>
      <c r="T11" s="388">
        <v>20.093</v>
      </c>
      <c r="U11" s="388">
        <v>27.628</v>
      </c>
      <c r="V11" s="388">
        <v>27.628</v>
      </c>
      <c r="W11" s="388">
        <v>28.465</v>
      </c>
    </row>
    <row r="12" spans="1:23" x14ac:dyDescent="0.2">
      <c r="A12" s="387">
        <v>723</v>
      </c>
      <c r="B12" s="388">
        <v>43.534999999999997</v>
      </c>
      <c r="C12" s="388">
        <v>42.279000000000003</v>
      </c>
      <c r="D12" s="388">
        <v>41.023000000000003</v>
      </c>
      <c r="E12" s="388">
        <v>40.186</v>
      </c>
      <c r="F12" s="388">
        <v>39.767000000000003</v>
      </c>
      <c r="G12" s="388">
        <v>36.418999999999997</v>
      </c>
      <c r="H12" s="388">
        <v>36.837000000000003</v>
      </c>
      <c r="I12" s="388">
        <v>36</v>
      </c>
      <c r="J12" s="388">
        <v>38.512</v>
      </c>
      <c r="K12" s="388">
        <v>35.581000000000003</v>
      </c>
      <c r="L12" s="388">
        <v>35.581000000000003</v>
      </c>
      <c r="M12" s="388">
        <v>35.581000000000003</v>
      </c>
      <c r="N12" s="388">
        <v>34.744</v>
      </c>
      <c r="O12" s="388">
        <v>37.256</v>
      </c>
      <c r="P12" s="388">
        <v>37.673999999999999</v>
      </c>
      <c r="Q12" s="388">
        <v>30.977</v>
      </c>
      <c r="R12" s="388">
        <v>19.673999999999999</v>
      </c>
      <c r="S12" s="388">
        <v>19.673999999999999</v>
      </c>
      <c r="T12" s="388">
        <v>20.93</v>
      </c>
      <c r="U12" s="388">
        <v>27.628</v>
      </c>
      <c r="V12" s="388">
        <v>27.628</v>
      </c>
      <c r="W12" s="388">
        <v>28.465</v>
      </c>
    </row>
    <row r="13" spans="1:23" x14ac:dyDescent="0.2">
      <c r="A13" s="387">
        <v>773</v>
      </c>
      <c r="B13" s="388">
        <v>41.023000000000003</v>
      </c>
      <c r="C13" s="388">
        <v>40.186</v>
      </c>
      <c r="D13" s="388">
        <v>39.348999999999997</v>
      </c>
      <c r="E13" s="388">
        <v>38.093000000000004</v>
      </c>
      <c r="F13" s="388">
        <v>38.512</v>
      </c>
      <c r="G13" s="388">
        <v>35.162999999999997</v>
      </c>
      <c r="H13" s="388">
        <v>35.581000000000003</v>
      </c>
      <c r="I13" s="388">
        <v>34.744</v>
      </c>
      <c r="J13" s="388">
        <v>37.256</v>
      </c>
      <c r="K13" s="388">
        <v>34.326000000000001</v>
      </c>
      <c r="L13" s="388">
        <v>35.162999999999997</v>
      </c>
      <c r="M13" s="388">
        <v>34.326000000000001</v>
      </c>
      <c r="N13" s="388">
        <v>33.488</v>
      </c>
      <c r="O13" s="388">
        <v>35.581000000000003</v>
      </c>
      <c r="P13" s="388">
        <v>36.418999999999997</v>
      </c>
      <c r="Q13" s="388">
        <v>30.977</v>
      </c>
      <c r="R13" s="388">
        <v>20.512</v>
      </c>
      <c r="S13" s="388">
        <v>20.512</v>
      </c>
      <c r="T13" s="388">
        <v>21.766999999999999</v>
      </c>
      <c r="U13" s="388">
        <v>27.209</v>
      </c>
      <c r="V13" s="388">
        <v>27.209</v>
      </c>
      <c r="W13" s="388">
        <v>28.047000000000001</v>
      </c>
    </row>
    <row r="14" spans="1:23" x14ac:dyDescent="0.2">
      <c r="A14" s="387">
        <v>823</v>
      </c>
      <c r="B14" s="388">
        <v>39.348999999999997</v>
      </c>
      <c r="C14" s="388">
        <v>38.093000000000004</v>
      </c>
      <c r="D14" s="388">
        <v>37.673999999999999</v>
      </c>
      <c r="E14" s="388">
        <v>36</v>
      </c>
      <c r="F14" s="388">
        <v>36.837000000000003</v>
      </c>
      <c r="G14" s="388">
        <v>33.906999999999996</v>
      </c>
      <c r="H14" s="388">
        <v>34.326000000000001</v>
      </c>
      <c r="I14" s="388">
        <v>33.488</v>
      </c>
      <c r="J14" s="388">
        <v>36</v>
      </c>
      <c r="K14" s="388">
        <v>33.07</v>
      </c>
      <c r="L14" s="388">
        <v>34.326000000000001</v>
      </c>
      <c r="M14" s="388">
        <v>33.07</v>
      </c>
      <c r="N14" s="388">
        <v>32.232999999999997</v>
      </c>
      <c r="O14" s="388">
        <v>33.906999999999996</v>
      </c>
      <c r="P14" s="388">
        <v>35.162999999999997</v>
      </c>
      <c r="Q14" s="388">
        <v>30.558</v>
      </c>
      <c r="R14" s="388">
        <v>21.349</v>
      </c>
      <c r="S14" s="388">
        <v>21.349</v>
      </c>
      <c r="T14" s="388">
        <v>23.023</v>
      </c>
      <c r="U14" s="388">
        <v>26.791</v>
      </c>
      <c r="V14" s="388">
        <v>27.209</v>
      </c>
      <c r="W14" s="388">
        <v>27.628</v>
      </c>
    </row>
    <row r="15" spans="1:23" x14ac:dyDescent="0.2">
      <c r="A15" s="387">
        <v>873</v>
      </c>
      <c r="B15" s="388">
        <v>37.673999999999999</v>
      </c>
      <c r="C15" s="388">
        <v>36</v>
      </c>
      <c r="D15" s="388">
        <v>35.581000000000003</v>
      </c>
      <c r="E15" s="388">
        <v>33.906999999999996</v>
      </c>
      <c r="F15" s="388">
        <v>36</v>
      </c>
      <c r="G15" s="388">
        <v>32.651000000000003</v>
      </c>
      <c r="H15" s="388">
        <v>33.07</v>
      </c>
      <c r="I15" s="388">
        <v>31.814</v>
      </c>
      <c r="J15" s="388">
        <v>34.326000000000001</v>
      </c>
      <c r="K15" s="388">
        <v>31.814</v>
      </c>
      <c r="L15" s="388">
        <v>33.488</v>
      </c>
      <c r="M15" s="388">
        <v>31.814</v>
      </c>
      <c r="N15" s="388">
        <v>30.558</v>
      </c>
      <c r="O15" s="388">
        <v>31.814</v>
      </c>
      <c r="P15" s="388">
        <v>33.906999999999996</v>
      </c>
      <c r="Q15" s="388">
        <v>30.14</v>
      </c>
      <c r="R15" s="388">
        <v>21.766999999999999</v>
      </c>
      <c r="S15" s="388">
        <v>22.186</v>
      </c>
      <c r="T15" s="388">
        <v>23.86</v>
      </c>
      <c r="U15" s="388">
        <v>26.372</v>
      </c>
      <c r="V15" s="388">
        <v>26.791</v>
      </c>
      <c r="W15" s="388">
        <v>27.209</v>
      </c>
    </row>
    <row r="16" spans="1:23" x14ac:dyDescent="0.2">
      <c r="A16" s="387">
        <v>923</v>
      </c>
      <c r="B16" s="388">
        <v>36</v>
      </c>
      <c r="C16" s="388">
        <v>33.906999999999996</v>
      </c>
      <c r="D16" s="388">
        <v>33.906999999999996</v>
      </c>
      <c r="E16" s="388">
        <v>32.232999999999997</v>
      </c>
      <c r="F16" s="388">
        <v>33.488</v>
      </c>
      <c r="G16" s="388">
        <v>31.395</v>
      </c>
      <c r="H16" s="388">
        <v>31.814</v>
      </c>
      <c r="I16" s="388">
        <v>30.14</v>
      </c>
      <c r="J16" s="388">
        <v>32.651000000000003</v>
      </c>
      <c r="K16" s="388">
        <v>30.14</v>
      </c>
      <c r="L16" s="388">
        <v>31.814</v>
      </c>
      <c r="M16" s="388">
        <v>30.14</v>
      </c>
      <c r="N16" s="388">
        <v>29.302</v>
      </c>
      <c r="O16" s="388">
        <v>30.14</v>
      </c>
      <c r="P16" s="388">
        <v>32.651000000000003</v>
      </c>
      <c r="Q16" s="388">
        <v>29.302</v>
      </c>
      <c r="R16" s="388">
        <v>22.186</v>
      </c>
      <c r="S16" s="388">
        <v>22.605</v>
      </c>
      <c r="T16" s="388">
        <v>24.698</v>
      </c>
      <c r="U16" s="388">
        <v>25.954000000000001</v>
      </c>
      <c r="V16" s="388">
        <v>25.954000000000001</v>
      </c>
      <c r="W16" s="388">
        <v>27.209</v>
      </c>
    </row>
    <row r="17" spans="1:23" x14ac:dyDescent="0.2">
      <c r="A17" s="387">
        <v>973</v>
      </c>
      <c r="B17" s="388">
        <v>33.906999999999996</v>
      </c>
      <c r="C17" s="388">
        <v>31.814</v>
      </c>
      <c r="D17" s="388">
        <v>31.814</v>
      </c>
      <c r="E17" s="388">
        <v>30.14</v>
      </c>
      <c r="F17" s="388">
        <v>31.395</v>
      </c>
      <c r="G17" s="388">
        <v>30.14</v>
      </c>
      <c r="H17" s="388">
        <v>30.558</v>
      </c>
      <c r="I17" s="388">
        <v>28.465</v>
      </c>
      <c r="J17" s="388">
        <v>31.395</v>
      </c>
      <c r="K17" s="388">
        <v>28.465</v>
      </c>
      <c r="L17" s="388">
        <v>29.302</v>
      </c>
      <c r="M17" s="388">
        <v>28.465</v>
      </c>
      <c r="N17" s="388">
        <v>28.047000000000001</v>
      </c>
      <c r="O17" s="388">
        <v>28.884</v>
      </c>
      <c r="P17" s="388">
        <v>30.977</v>
      </c>
      <c r="Q17" s="388">
        <v>28.047000000000001</v>
      </c>
      <c r="R17" s="388">
        <v>22.605</v>
      </c>
      <c r="S17" s="388">
        <v>23.442</v>
      </c>
      <c r="T17" s="388">
        <v>25.535</v>
      </c>
      <c r="U17" s="388">
        <v>25.535</v>
      </c>
      <c r="V17" s="388">
        <v>25.535</v>
      </c>
      <c r="W17" s="388">
        <v>26.791</v>
      </c>
    </row>
    <row r="18" spans="1:23" x14ac:dyDescent="0.2">
      <c r="A18" s="387">
        <v>1023</v>
      </c>
      <c r="B18" s="388">
        <v>31.814</v>
      </c>
      <c r="C18" s="388">
        <v>29.721</v>
      </c>
      <c r="D18" s="388">
        <v>28.465</v>
      </c>
      <c r="E18" s="388">
        <v>27.209</v>
      </c>
      <c r="F18" s="388">
        <v>28.465</v>
      </c>
      <c r="G18" s="388">
        <v>26.791</v>
      </c>
      <c r="H18" s="388">
        <v>27.209</v>
      </c>
      <c r="I18" s="388">
        <v>27.209</v>
      </c>
      <c r="J18" s="388">
        <v>30.558</v>
      </c>
      <c r="K18" s="388">
        <v>25.116</v>
      </c>
      <c r="L18" s="388">
        <v>26.791</v>
      </c>
      <c r="M18" s="388">
        <v>26.791</v>
      </c>
      <c r="N18" s="388">
        <v>27.209</v>
      </c>
      <c r="O18" s="388">
        <v>27.209</v>
      </c>
      <c r="P18" s="388">
        <v>28.465</v>
      </c>
      <c r="Q18" s="388">
        <v>26.372</v>
      </c>
      <c r="R18" s="388">
        <v>23.023</v>
      </c>
      <c r="S18" s="388">
        <v>24.279</v>
      </c>
      <c r="T18" s="388">
        <v>26.372</v>
      </c>
      <c r="U18" s="388">
        <v>25.116</v>
      </c>
      <c r="V18" s="388">
        <v>25.116</v>
      </c>
      <c r="W18" s="388">
        <v>26.372</v>
      </c>
    </row>
    <row r="19" spans="1:23" x14ac:dyDescent="0.2">
      <c r="A19" s="387">
        <v>1073</v>
      </c>
      <c r="B19" s="388">
        <v>30.14</v>
      </c>
      <c r="C19" s="388">
        <v>28.465</v>
      </c>
      <c r="D19" s="388">
        <v>25.954000000000001</v>
      </c>
      <c r="E19" s="388">
        <v>24.698</v>
      </c>
      <c r="F19" s="388">
        <v>26.791</v>
      </c>
      <c r="G19" s="388">
        <v>24.279</v>
      </c>
      <c r="H19" s="388">
        <v>24.279</v>
      </c>
      <c r="I19" s="388">
        <v>23.86</v>
      </c>
      <c r="J19" s="388">
        <v>29.721</v>
      </c>
      <c r="K19" s="388">
        <v>25.116</v>
      </c>
      <c r="L19" s="388">
        <v>25.954000000000001</v>
      </c>
      <c r="M19" s="388">
        <v>25.954000000000001</v>
      </c>
      <c r="N19" s="388">
        <v>26.791</v>
      </c>
      <c r="O19" s="388">
        <v>25.954000000000001</v>
      </c>
      <c r="P19" s="388">
        <v>26.372</v>
      </c>
      <c r="Q19" s="388">
        <v>25.116</v>
      </c>
      <c r="R19" s="388">
        <v>23.442</v>
      </c>
      <c r="S19" s="388">
        <v>25.116</v>
      </c>
      <c r="T19" s="388">
        <v>26.791</v>
      </c>
      <c r="U19" s="388">
        <v>25.116</v>
      </c>
      <c r="V19" s="388">
        <v>25.116</v>
      </c>
      <c r="W19" s="388">
        <v>25.954000000000001</v>
      </c>
    </row>
    <row r="20" spans="1:23" x14ac:dyDescent="0.2">
      <c r="A20" s="387">
        <v>1123</v>
      </c>
      <c r="B20" s="388">
        <v>27.628</v>
      </c>
      <c r="C20" s="388">
        <v>27.209</v>
      </c>
      <c r="D20" s="388">
        <v>25.954000000000001</v>
      </c>
      <c r="E20" s="388">
        <v>24.698</v>
      </c>
      <c r="F20" s="388">
        <v>25.535</v>
      </c>
      <c r="G20" s="388">
        <v>24.279</v>
      </c>
      <c r="H20" s="388">
        <v>24.279</v>
      </c>
      <c r="I20" s="388">
        <v>23.86</v>
      </c>
      <c r="J20" s="388">
        <v>26.372</v>
      </c>
      <c r="K20" s="388">
        <v>25.535</v>
      </c>
      <c r="L20" s="388">
        <v>25.954000000000001</v>
      </c>
      <c r="M20" s="388">
        <v>25.954000000000001</v>
      </c>
      <c r="N20" s="388">
        <v>27.209</v>
      </c>
      <c r="O20" s="388">
        <v>25.954000000000001</v>
      </c>
      <c r="P20" s="388">
        <v>26.372</v>
      </c>
      <c r="Q20" s="388">
        <v>25.116</v>
      </c>
      <c r="R20" s="388">
        <v>23.86</v>
      </c>
      <c r="S20" s="388">
        <v>25.954000000000001</v>
      </c>
      <c r="T20" s="388">
        <v>26.372</v>
      </c>
      <c r="U20" s="388">
        <v>25.954000000000001</v>
      </c>
      <c r="V20" s="388">
        <v>25.954000000000001</v>
      </c>
      <c r="W20" s="388">
        <v>26.372</v>
      </c>
    </row>
    <row r="21" spans="1:23" x14ac:dyDescent="0.2">
      <c r="A21" s="387">
        <v>1173</v>
      </c>
      <c r="B21" s="388">
        <v>27.209</v>
      </c>
      <c r="C21" s="388">
        <v>26.791</v>
      </c>
      <c r="D21" s="388">
        <v>26.372</v>
      </c>
      <c r="E21" s="388">
        <v>25.535</v>
      </c>
      <c r="F21" s="388">
        <v>25.954000000000001</v>
      </c>
      <c r="G21" s="388">
        <v>25.535</v>
      </c>
      <c r="H21" s="388">
        <v>25.116</v>
      </c>
      <c r="I21" s="388">
        <v>24.698</v>
      </c>
      <c r="J21" s="388">
        <v>26.791</v>
      </c>
      <c r="K21" s="388">
        <v>26.372</v>
      </c>
      <c r="L21" s="388">
        <v>26.372</v>
      </c>
      <c r="M21" s="388">
        <v>26.372</v>
      </c>
      <c r="N21" s="388">
        <v>27.628</v>
      </c>
      <c r="O21" s="388">
        <v>26.791</v>
      </c>
      <c r="P21" s="388">
        <v>27.209</v>
      </c>
      <c r="Q21" s="388">
        <v>25.535</v>
      </c>
      <c r="R21" s="388">
        <v>24.279</v>
      </c>
      <c r="S21" s="388">
        <v>26.372</v>
      </c>
      <c r="T21" s="388">
        <v>26.791</v>
      </c>
      <c r="U21" s="388">
        <v>26.791</v>
      </c>
      <c r="V21" s="388">
        <v>26.791</v>
      </c>
      <c r="W21" s="388">
        <v>26.791</v>
      </c>
    </row>
    <row r="22" spans="1:23" x14ac:dyDescent="0.2">
      <c r="A22" s="387">
        <v>1223</v>
      </c>
      <c r="B22" s="388">
        <v>27.209</v>
      </c>
      <c r="C22" s="388">
        <v>27.209</v>
      </c>
      <c r="D22" s="388">
        <v>26.791</v>
      </c>
      <c r="E22" s="388">
        <v>25.954000000000001</v>
      </c>
      <c r="F22" s="388">
        <v>25.954000000000001</v>
      </c>
      <c r="G22" s="388">
        <v>26.372</v>
      </c>
      <c r="H22" s="388">
        <v>25.954000000000001</v>
      </c>
      <c r="I22" s="388">
        <v>25.535</v>
      </c>
      <c r="J22" s="388">
        <v>26.791</v>
      </c>
      <c r="K22" s="388">
        <v>26.791</v>
      </c>
      <c r="L22" s="388">
        <v>27.209</v>
      </c>
      <c r="M22" s="388">
        <v>27.209</v>
      </c>
      <c r="N22" s="388">
        <v>28.047000000000001</v>
      </c>
      <c r="O22" s="388">
        <v>27.628</v>
      </c>
      <c r="P22" s="388">
        <v>27.628</v>
      </c>
      <c r="Q22" s="388">
        <v>25.954000000000001</v>
      </c>
      <c r="R22" s="388">
        <v>24.698</v>
      </c>
      <c r="S22" s="388">
        <v>27.209</v>
      </c>
      <c r="T22" s="388">
        <v>27.628</v>
      </c>
      <c r="U22" s="388">
        <v>26.791</v>
      </c>
      <c r="V22" s="388">
        <v>27.209</v>
      </c>
      <c r="W22" s="388">
        <v>27.209</v>
      </c>
    </row>
    <row r="23" spans="1:23" x14ac:dyDescent="0.2">
      <c r="A23" s="387">
        <v>1273</v>
      </c>
      <c r="B23" s="388">
        <v>27.628</v>
      </c>
      <c r="C23" s="388">
        <v>27.628</v>
      </c>
      <c r="D23" s="388">
        <v>27.209</v>
      </c>
      <c r="E23" s="388">
        <v>26.791</v>
      </c>
      <c r="F23" s="388">
        <v>26.791</v>
      </c>
      <c r="G23" s="388">
        <v>26.791</v>
      </c>
      <c r="H23" s="388">
        <v>26.791</v>
      </c>
      <c r="I23" s="388">
        <v>25.954000000000001</v>
      </c>
      <c r="J23" s="388">
        <v>27.209</v>
      </c>
      <c r="K23" s="388">
        <v>27.628</v>
      </c>
      <c r="L23" s="388">
        <v>27.628</v>
      </c>
      <c r="M23" s="388">
        <v>27.628</v>
      </c>
      <c r="N23" s="388">
        <v>28.465</v>
      </c>
      <c r="O23" s="388">
        <v>28.047000000000001</v>
      </c>
      <c r="P23" s="388">
        <v>28.047000000000001</v>
      </c>
      <c r="Q23" s="388">
        <v>26.372</v>
      </c>
      <c r="R23" s="388">
        <v>25.535</v>
      </c>
      <c r="S23" s="388">
        <v>27.628</v>
      </c>
      <c r="T23" s="388">
        <v>28.047000000000001</v>
      </c>
      <c r="U23" s="388">
        <v>27.628</v>
      </c>
      <c r="V23" s="388">
        <v>27.628</v>
      </c>
      <c r="W23" s="388">
        <v>27.628</v>
      </c>
    </row>
    <row r="24" spans="1:23" x14ac:dyDescent="0.2">
      <c r="A24" s="387">
        <v>1323</v>
      </c>
      <c r="B24" s="388">
        <v>28.047000000000001</v>
      </c>
      <c r="C24" s="388">
        <v>28.047000000000001</v>
      </c>
      <c r="D24" s="388">
        <v>28.047000000000001</v>
      </c>
      <c r="E24" s="388">
        <v>27.209</v>
      </c>
      <c r="F24" s="388">
        <v>27.209</v>
      </c>
      <c r="G24" s="388">
        <v>27.628</v>
      </c>
      <c r="H24" s="388">
        <v>27.628</v>
      </c>
      <c r="I24" s="388">
        <v>26.791</v>
      </c>
      <c r="J24" s="388">
        <v>28.047000000000001</v>
      </c>
      <c r="K24" s="388">
        <v>28.047000000000001</v>
      </c>
      <c r="L24" s="388">
        <v>28.047000000000001</v>
      </c>
      <c r="M24" s="388">
        <v>28.047000000000001</v>
      </c>
      <c r="N24" s="388">
        <v>28.884</v>
      </c>
      <c r="O24" s="388">
        <v>28.465</v>
      </c>
      <c r="P24" s="388">
        <v>28.884</v>
      </c>
      <c r="Q24" s="388">
        <v>27.209</v>
      </c>
      <c r="R24" s="388">
        <v>25.954000000000001</v>
      </c>
      <c r="S24" s="388">
        <v>28.047000000000001</v>
      </c>
      <c r="T24" s="388">
        <v>28.465</v>
      </c>
      <c r="U24" s="388">
        <v>28.465</v>
      </c>
      <c r="V24" s="388">
        <v>28.465</v>
      </c>
      <c r="W24" s="388">
        <v>28.047000000000001</v>
      </c>
    </row>
    <row r="25" spans="1:23" x14ac:dyDescent="0.2">
      <c r="A25" s="387">
        <v>1373</v>
      </c>
      <c r="B25" s="388">
        <v>28.465</v>
      </c>
      <c r="C25" s="388">
        <v>28.465</v>
      </c>
      <c r="D25" s="388">
        <v>28.465</v>
      </c>
      <c r="E25" s="388">
        <v>28.047000000000001</v>
      </c>
      <c r="F25" s="388">
        <v>28.047000000000001</v>
      </c>
      <c r="G25" s="388">
        <v>28.465</v>
      </c>
      <c r="H25" s="388">
        <v>28.465</v>
      </c>
      <c r="I25" s="388">
        <v>27.209</v>
      </c>
      <c r="J25" s="388">
        <v>28.465</v>
      </c>
      <c r="K25" s="388">
        <v>28.465</v>
      </c>
      <c r="L25" s="388">
        <v>28.884</v>
      </c>
      <c r="M25" s="388">
        <v>28.884</v>
      </c>
      <c r="N25" s="388">
        <v>29.302</v>
      </c>
      <c r="O25" s="388">
        <v>28.884</v>
      </c>
      <c r="P25" s="388">
        <v>29.302</v>
      </c>
      <c r="Q25" s="388">
        <v>27.628</v>
      </c>
      <c r="R25" s="388">
        <v>26.791</v>
      </c>
      <c r="S25" s="388">
        <v>28.465</v>
      </c>
      <c r="T25" s="388">
        <v>28.884</v>
      </c>
      <c r="U25" s="388">
        <v>28.884</v>
      </c>
      <c r="V25" s="388">
        <v>28.884</v>
      </c>
      <c r="W25" s="388">
        <v>28.465</v>
      </c>
    </row>
    <row r="26" spans="1:23" x14ac:dyDescent="0.2">
      <c r="A26" s="387">
        <v>1423</v>
      </c>
      <c r="B26" s="388">
        <v>29.302</v>
      </c>
      <c r="C26" s="388">
        <v>29.302</v>
      </c>
      <c r="D26" s="388">
        <v>29.302</v>
      </c>
      <c r="E26" s="388">
        <v>28.884</v>
      </c>
      <c r="F26" s="388">
        <v>28.884</v>
      </c>
      <c r="G26" s="388">
        <v>29.302</v>
      </c>
      <c r="H26" s="388">
        <v>28.884</v>
      </c>
      <c r="I26" s="388">
        <v>28.047000000000001</v>
      </c>
      <c r="J26" s="388">
        <v>29.302</v>
      </c>
      <c r="K26" s="388">
        <v>29.302</v>
      </c>
      <c r="L26" s="388">
        <v>29.302</v>
      </c>
      <c r="M26" s="388">
        <v>29.302</v>
      </c>
      <c r="N26" s="388">
        <v>29.721</v>
      </c>
      <c r="O26" s="388">
        <v>29.721</v>
      </c>
      <c r="P26" s="388">
        <v>29.721</v>
      </c>
      <c r="Q26" s="388">
        <v>28.465</v>
      </c>
      <c r="R26" s="388">
        <v>27.209</v>
      </c>
      <c r="S26" s="388">
        <v>28.884</v>
      </c>
      <c r="T26" s="388">
        <v>29.302</v>
      </c>
      <c r="U26" s="388">
        <v>29.721</v>
      </c>
      <c r="V26" s="388">
        <v>29.721</v>
      </c>
      <c r="W26" s="388">
        <v>28.884</v>
      </c>
    </row>
    <row r="27" spans="1:23" x14ac:dyDescent="0.2">
      <c r="A27" s="387">
        <v>1473</v>
      </c>
      <c r="B27" s="388">
        <v>29.721</v>
      </c>
      <c r="C27" s="388">
        <v>29.721</v>
      </c>
      <c r="D27" s="388">
        <v>29.721</v>
      </c>
      <c r="E27" s="388">
        <v>29.721</v>
      </c>
      <c r="F27" s="388">
        <v>29.721</v>
      </c>
      <c r="G27" s="388">
        <v>30.14</v>
      </c>
      <c r="H27" s="388">
        <v>29.721</v>
      </c>
      <c r="I27" s="388">
        <v>28.465</v>
      </c>
      <c r="J27" s="388">
        <v>29.721</v>
      </c>
      <c r="K27" s="388">
        <v>30.14</v>
      </c>
      <c r="L27" s="388">
        <v>29.709</v>
      </c>
      <c r="M27" s="388">
        <v>29.721</v>
      </c>
      <c r="N27" s="388">
        <v>30.14</v>
      </c>
      <c r="O27" s="388">
        <v>30.14</v>
      </c>
      <c r="P27" s="388">
        <v>30.14</v>
      </c>
      <c r="Q27" s="388">
        <v>29.302</v>
      </c>
      <c r="R27" s="388">
        <v>28.047000000000001</v>
      </c>
      <c r="S27" s="388">
        <v>29.721</v>
      </c>
      <c r="T27" s="388">
        <v>29.721</v>
      </c>
      <c r="U27" s="388">
        <v>30.558</v>
      </c>
      <c r="V27" s="388">
        <v>30.14</v>
      </c>
      <c r="W27" s="388">
        <v>29.302</v>
      </c>
    </row>
    <row r="28" spans="1:23" x14ac:dyDescent="0.2">
      <c r="A28" s="387">
        <v>1523</v>
      </c>
      <c r="B28" s="388">
        <v>30.14</v>
      </c>
      <c r="C28" s="388">
        <v>30.14</v>
      </c>
      <c r="D28" s="388">
        <v>30.14</v>
      </c>
      <c r="E28" s="388">
        <v>30.558</v>
      </c>
      <c r="F28" s="388">
        <v>30.558</v>
      </c>
      <c r="G28" s="388">
        <v>30.977</v>
      </c>
      <c r="H28" s="388">
        <v>30.558</v>
      </c>
      <c r="I28" s="388">
        <v>28.884</v>
      </c>
      <c r="J28" s="388">
        <v>30.14</v>
      </c>
      <c r="K28" s="388">
        <v>30.977</v>
      </c>
      <c r="L28" s="388">
        <v>30.14</v>
      </c>
      <c r="M28" s="388">
        <v>30.14</v>
      </c>
      <c r="N28" s="388">
        <v>30.558</v>
      </c>
      <c r="O28" s="388">
        <v>30.558</v>
      </c>
      <c r="P28" s="388">
        <v>30.558</v>
      </c>
      <c r="Q28" s="388">
        <v>30.14</v>
      </c>
      <c r="R28" s="388">
        <v>28.884</v>
      </c>
      <c r="S28" s="388">
        <v>30.558</v>
      </c>
      <c r="T28" s="388">
        <v>30.14</v>
      </c>
      <c r="U28" s="388">
        <v>31.395</v>
      </c>
      <c r="V28" s="388">
        <v>30.558</v>
      </c>
      <c r="W28" s="388">
        <v>29.721</v>
      </c>
    </row>
    <row r="29" spans="1:23" x14ac:dyDescent="0.2">
      <c r="A29" s="387">
        <v>1573</v>
      </c>
      <c r="B29" s="388">
        <v>30.558</v>
      </c>
      <c r="C29" s="388">
        <v>30.558</v>
      </c>
      <c r="D29" s="388">
        <v>30.558</v>
      </c>
      <c r="E29" s="388">
        <v>31.395</v>
      </c>
      <c r="F29" s="388">
        <v>31.395</v>
      </c>
      <c r="G29" s="388">
        <v>31.814</v>
      </c>
      <c r="H29" s="388">
        <v>31.395</v>
      </c>
      <c r="I29" s="388">
        <v>29.302</v>
      </c>
      <c r="J29" s="388">
        <v>30.558</v>
      </c>
      <c r="K29" s="388">
        <v>31.814</v>
      </c>
      <c r="L29" s="388">
        <v>30.558</v>
      </c>
      <c r="M29" s="388">
        <v>30.558</v>
      </c>
      <c r="N29" s="388">
        <v>30.977</v>
      </c>
      <c r="O29" s="388">
        <v>30.977</v>
      </c>
      <c r="P29" s="388">
        <v>30.977</v>
      </c>
      <c r="Q29" s="388">
        <v>30.977</v>
      </c>
      <c r="R29" s="388">
        <v>29.721</v>
      </c>
      <c r="S29" s="388">
        <v>31.395</v>
      </c>
      <c r="T29" s="388">
        <v>30.558</v>
      </c>
      <c r="U29" s="388">
        <v>32.232999999999997</v>
      </c>
      <c r="V29" s="388">
        <v>30.977</v>
      </c>
      <c r="W29" s="388">
        <v>30.14</v>
      </c>
    </row>
    <row r="30" spans="1:23" x14ac:dyDescent="0.2">
      <c r="A30" s="387">
        <v>1623</v>
      </c>
      <c r="B30" s="388">
        <v>30.977</v>
      </c>
      <c r="C30" s="388">
        <v>30.977</v>
      </c>
      <c r="D30" s="388">
        <v>30.977</v>
      </c>
      <c r="E30" s="388">
        <v>32.232999999999997</v>
      </c>
      <c r="F30" s="388">
        <v>32.232999999999997</v>
      </c>
      <c r="G30" s="388">
        <v>32.651000000000003</v>
      </c>
      <c r="H30" s="388">
        <v>32.232999999999997</v>
      </c>
      <c r="I30" s="388">
        <v>29.721</v>
      </c>
      <c r="J30" s="388">
        <v>30.977</v>
      </c>
      <c r="K30" s="388">
        <v>32.651000000000003</v>
      </c>
      <c r="L30" s="388">
        <v>30.977</v>
      </c>
      <c r="M30" s="388">
        <v>30.977</v>
      </c>
      <c r="N30" s="388">
        <v>31.395</v>
      </c>
      <c r="O30" s="388">
        <v>31.395</v>
      </c>
      <c r="P30" s="388">
        <v>31.395</v>
      </c>
      <c r="Q30" s="388">
        <v>31.814</v>
      </c>
      <c r="R30" s="388">
        <v>30.558</v>
      </c>
      <c r="S30" s="388">
        <v>32.232999999999997</v>
      </c>
      <c r="T30" s="388">
        <v>30.977</v>
      </c>
      <c r="U30" s="388">
        <v>33.07</v>
      </c>
      <c r="V30" s="388">
        <v>31.395</v>
      </c>
      <c r="W30" s="388">
        <v>30.558</v>
      </c>
    </row>
    <row r="31" spans="1:23" x14ac:dyDescent="0.2">
      <c r="A31" s="387">
        <v>3000</v>
      </c>
      <c r="B31" s="388">
        <f>B30</f>
        <v>30.977</v>
      </c>
      <c r="C31" s="388">
        <f t="shared" ref="C31:W31" si="0">C30</f>
        <v>30.977</v>
      </c>
      <c r="D31" s="388">
        <f t="shared" si="0"/>
        <v>30.977</v>
      </c>
      <c r="E31" s="388">
        <f t="shared" si="0"/>
        <v>32.232999999999997</v>
      </c>
      <c r="F31" s="388">
        <f t="shared" si="0"/>
        <v>32.232999999999997</v>
      </c>
      <c r="G31" s="388">
        <f t="shared" si="0"/>
        <v>32.651000000000003</v>
      </c>
      <c r="H31" s="388">
        <f t="shared" si="0"/>
        <v>32.232999999999997</v>
      </c>
      <c r="I31" s="388">
        <f t="shared" si="0"/>
        <v>29.721</v>
      </c>
      <c r="J31" s="388">
        <f t="shared" si="0"/>
        <v>30.977</v>
      </c>
      <c r="K31" s="388">
        <f t="shared" si="0"/>
        <v>32.651000000000003</v>
      </c>
      <c r="L31" s="388">
        <f t="shared" si="0"/>
        <v>30.977</v>
      </c>
      <c r="M31" s="388">
        <f t="shared" si="0"/>
        <v>30.977</v>
      </c>
      <c r="N31" s="388">
        <f t="shared" si="0"/>
        <v>31.395</v>
      </c>
      <c r="O31" s="388">
        <f t="shared" si="0"/>
        <v>31.395</v>
      </c>
      <c r="P31" s="388">
        <f t="shared" si="0"/>
        <v>31.395</v>
      </c>
      <c r="Q31" s="388">
        <f t="shared" si="0"/>
        <v>31.814</v>
      </c>
      <c r="R31" s="388">
        <f t="shared" si="0"/>
        <v>30.558</v>
      </c>
      <c r="S31" s="388">
        <f t="shared" si="0"/>
        <v>32.232999999999997</v>
      </c>
      <c r="T31" s="388">
        <f t="shared" si="0"/>
        <v>30.977</v>
      </c>
      <c r="U31" s="388">
        <f t="shared" si="0"/>
        <v>33.07</v>
      </c>
      <c r="V31" s="388">
        <f t="shared" si="0"/>
        <v>31.395</v>
      </c>
      <c r="W31" s="388">
        <f t="shared" si="0"/>
        <v>30.558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5D8DC-0BBE-4C2A-98DD-4FA96804A540}">
  <sheetPr codeName="Feuil22"/>
  <dimension ref="A1:W3"/>
  <sheetViews>
    <sheetView workbookViewId="0">
      <selection activeCell="I38" sqref="I38:L39"/>
    </sheetView>
  </sheetViews>
  <sheetFormatPr baseColWidth="10" defaultColWidth="11.42578125" defaultRowHeight="12.75" x14ac:dyDescent="0.2"/>
  <cols>
    <col min="1" max="16384" width="11.42578125" style="389"/>
  </cols>
  <sheetData>
    <row r="1" spans="1:23" s="385" customFormat="1" x14ac:dyDescent="0.2">
      <c r="B1" s="384" t="s">
        <v>133</v>
      </c>
    </row>
    <row r="2" spans="1:23" s="386" customFormat="1" x14ac:dyDescent="0.2">
      <c r="A2" s="386">
        <v>22</v>
      </c>
      <c r="B2" s="386" t="s">
        <v>78</v>
      </c>
      <c r="C2" s="386" t="s">
        <v>90</v>
      </c>
      <c r="D2" s="386" t="s">
        <v>91</v>
      </c>
      <c r="E2" s="386" t="s">
        <v>92</v>
      </c>
      <c r="F2" s="386" t="s">
        <v>93</v>
      </c>
      <c r="G2" s="386" t="s">
        <v>94</v>
      </c>
      <c r="H2" s="386" t="s">
        <v>95</v>
      </c>
      <c r="I2" s="386" t="s">
        <v>96</v>
      </c>
      <c r="J2" s="386" t="s">
        <v>97</v>
      </c>
      <c r="K2" s="386" t="s">
        <v>98</v>
      </c>
      <c r="L2" s="386" t="s">
        <v>99</v>
      </c>
      <c r="M2" s="386" t="s">
        <v>100</v>
      </c>
      <c r="N2" s="386" t="s">
        <v>101</v>
      </c>
      <c r="O2" s="386" t="s">
        <v>102</v>
      </c>
      <c r="P2" s="386" t="s">
        <v>103</v>
      </c>
      <c r="Q2" s="386" t="s">
        <v>104</v>
      </c>
      <c r="R2" s="386" t="s">
        <v>105</v>
      </c>
      <c r="S2" s="386" t="s">
        <v>106</v>
      </c>
      <c r="T2" s="386" t="s">
        <v>107</v>
      </c>
      <c r="U2" s="386" t="s">
        <v>108</v>
      </c>
      <c r="V2" s="386" t="s">
        <v>109</v>
      </c>
      <c r="W2" s="386" t="s">
        <v>110</v>
      </c>
    </row>
    <row r="3" spans="1:23" x14ac:dyDescent="0.2">
      <c r="A3" s="387"/>
      <c r="B3" s="387">
        <v>7876</v>
      </c>
      <c r="C3" s="387">
        <v>7861</v>
      </c>
      <c r="D3" s="387">
        <v>7863</v>
      </c>
      <c r="E3" s="387">
        <v>7858</v>
      </c>
      <c r="F3" s="387">
        <v>7848</v>
      </c>
      <c r="G3" s="387">
        <v>7855</v>
      </c>
      <c r="H3" s="387">
        <v>7855</v>
      </c>
      <c r="I3" s="387">
        <v>7834</v>
      </c>
      <c r="J3" s="387">
        <v>7854</v>
      </c>
      <c r="K3" s="387">
        <v>7859</v>
      </c>
      <c r="L3" s="387">
        <v>7851</v>
      </c>
      <c r="M3" s="387">
        <v>7852</v>
      </c>
      <c r="N3" s="387">
        <v>7863</v>
      </c>
      <c r="O3" s="387">
        <v>7847</v>
      </c>
      <c r="P3" s="387">
        <v>7850</v>
      </c>
      <c r="Q3" s="387">
        <v>7729</v>
      </c>
      <c r="R3" s="387">
        <v>7877</v>
      </c>
      <c r="S3" s="387">
        <v>8166</v>
      </c>
      <c r="T3" s="387">
        <v>7921</v>
      </c>
      <c r="U3" s="387">
        <v>7749</v>
      </c>
      <c r="V3" s="387">
        <v>7745</v>
      </c>
      <c r="W3" s="387">
        <v>8696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33BA4-004F-446A-A36C-9C40145B9F04}">
  <sheetPr codeName="Feuil24"/>
  <dimension ref="A1:W70"/>
  <sheetViews>
    <sheetView workbookViewId="0">
      <selection activeCell="I38" sqref="I38:L39"/>
    </sheetView>
  </sheetViews>
  <sheetFormatPr baseColWidth="10" defaultColWidth="11.42578125" defaultRowHeight="12.75" x14ac:dyDescent="0.2"/>
  <cols>
    <col min="1" max="1" width="11.42578125" style="389"/>
    <col min="2" max="2" width="12.85546875" style="389" bestFit="1" customWidth="1"/>
    <col min="3" max="16384" width="11.42578125" style="389"/>
  </cols>
  <sheetData>
    <row r="1" spans="1:23" s="385" customFormat="1" x14ac:dyDescent="0.2">
      <c r="A1" s="390">
        <v>29</v>
      </c>
      <c r="B1" s="384" t="s">
        <v>131</v>
      </c>
    </row>
    <row r="2" spans="1:23" s="386" customFormat="1" x14ac:dyDescent="0.2">
      <c r="A2" s="386">
        <v>22</v>
      </c>
      <c r="B2" s="386" t="s">
        <v>78</v>
      </c>
      <c r="C2" s="386" t="s">
        <v>90</v>
      </c>
      <c r="D2" s="386" t="s">
        <v>91</v>
      </c>
      <c r="E2" s="386" t="s">
        <v>92</v>
      </c>
      <c r="F2" s="386" t="s">
        <v>93</v>
      </c>
      <c r="G2" s="386" t="s">
        <v>94</v>
      </c>
      <c r="H2" s="386" t="s">
        <v>95</v>
      </c>
      <c r="I2" s="386" t="s">
        <v>96</v>
      </c>
      <c r="J2" s="386" t="s">
        <v>97</v>
      </c>
      <c r="K2" s="386" t="s">
        <v>98</v>
      </c>
      <c r="L2" s="386" t="s">
        <v>99</v>
      </c>
      <c r="M2" s="386" t="s">
        <v>100</v>
      </c>
      <c r="N2" s="386" t="s">
        <v>101</v>
      </c>
      <c r="O2" s="386" t="s">
        <v>102</v>
      </c>
      <c r="P2" s="386" t="s">
        <v>103</v>
      </c>
      <c r="Q2" s="386" t="s">
        <v>104</v>
      </c>
      <c r="R2" s="386" t="s">
        <v>105</v>
      </c>
      <c r="S2" s="386" t="s">
        <v>106</v>
      </c>
      <c r="T2" s="386" t="s">
        <v>107</v>
      </c>
      <c r="U2" s="386" t="s">
        <v>108</v>
      </c>
      <c r="V2" s="386" t="s">
        <v>109</v>
      </c>
      <c r="W2" s="386" t="s">
        <v>110</v>
      </c>
    </row>
    <row r="3" spans="1:23" x14ac:dyDescent="0.2">
      <c r="A3" s="387">
        <v>273</v>
      </c>
      <c r="B3" s="389">
        <v>485.6</v>
      </c>
      <c r="C3" s="389">
        <v>485.6</v>
      </c>
      <c r="D3" s="389">
        <v>485.6</v>
      </c>
      <c r="E3" s="389">
        <v>485.6</v>
      </c>
      <c r="F3" s="389">
        <v>477.2</v>
      </c>
      <c r="G3" s="389">
        <v>485.6</v>
      </c>
      <c r="H3" s="389">
        <v>502.3</v>
      </c>
      <c r="I3" s="389">
        <v>485.6</v>
      </c>
      <c r="J3" s="389">
        <v>477.2</v>
      </c>
      <c r="K3" s="389">
        <v>485.6</v>
      </c>
      <c r="L3" s="389">
        <v>494</v>
      </c>
      <c r="M3" s="389">
        <v>485.6</v>
      </c>
      <c r="N3" s="389">
        <v>485.6</v>
      </c>
      <c r="O3" s="389">
        <v>494</v>
      </c>
      <c r="P3" s="389">
        <v>477.2</v>
      </c>
      <c r="Q3" s="389">
        <v>502.3</v>
      </c>
      <c r="R3" s="389">
        <v>519.1</v>
      </c>
      <c r="S3" s="389">
        <v>502.3</v>
      </c>
      <c r="T3" s="389">
        <v>510.7</v>
      </c>
      <c r="U3" s="389">
        <v>468.8</v>
      </c>
      <c r="V3" s="389">
        <v>468.8</v>
      </c>
      <c r="W3" s="389">
        <v>410.2</v>
      </c>
    </row>
    <row r="4" spans="1:23" x14ac:dyDescent="0.2">
      <c r="A4" s="387">
        <v>323</v>
      </c>
      <c r="B4" s="389">
        <v>485.6</v>
      </c>
      <c r="C4" s="389">
        <v>485.6</v>
      </c>
      <c r="D4" s="389">
        <v>485.6</v>
      </c>
      <c r="E4" s="389">
        <v>485.6</v>
      </c>
      <c r="F4" s="389">
        <v>477.2</v>
      </c>
      <c r="G4" s="389">
        <v>485.6</v>
      </c>
      <c r="H4" s="389">
        <v>502.3</v>
      </c>
      <c r="I4" s="389">
        <v>485.6</v>
      </c>
      <c r="J4" s="389">
        <v>477.2</v>
      </c>
      <c r="K4" s="389">
        <v>485.6</v>
      </c>
      <c r="L4" s="389">
        <v>494</v>
      </c>
      <c r="M4" s="389">
        <v>485.6</v>
      </c>
      <c r="N4" s="389">
        <v>485.6</v>
      </c>
      <c r="O4" s="389">
        <v>494</v>
      </c>
      <c r="P4" s="389">
        <v>477.2</v>
      </c>
      <c r="Q4" s="389">
        <v>502.3</v>
      </c>
      <c r="R4" s="389">
        <v>519.1</v>
      </c>
      <c r="S4" s="389">
        <v>502.3</v>
      </c>
      <c r="T4" s="389">
        <v>510.7</v>
      </c>
      <c r="U4" s="389">
        <v>468.8</v>
      </c>
      <c r="V4" s="389">
        <v>468.8</v>
      </c>
      <c r="W4" s="389">
        <v>410.2</v>
      </c>
    </row>
    <row r="5" spans="1:23" x14ac:dyDescent="0.2">
      <c r="A5" s="387">
        <v>373</v>
      </c>
      <c r="B5" s="389">
        <v>494</v>
      </c>
      <c r="C5" s="389">
        <v>494</v>
      </c>
      <c r="D5" s="389">
        <v>494</v>
      </c>
      <c r="E5" s="389">
        <v>494</v>
      </c>
      <c r="F5" s="389">
        <v>494</v>
      </c>
      <c r="G5" s="389">
        <v>502.3</v>
      </c>
      <c r="H5" s="389">
        <v>510.7</v>
      </c>
      <c r="I5" s="389">
        <v>502.3</v>
      </c>
      <c r="J5" s="389">
        <v>485.6</v>
      </c>
      <c r="K5" s="389">
        <v>494</v>
      </c>
      <c r="L5" s="389">
        <v>502.3</v>
      </c>
      <c r="M5" s="389">
        <v>502.3</v>
      </c>
      <c r="N5" s="389">
        <v>494</v>
      </c>
      <c r="O5" s="389">
        <v>502.3</v>
      </c>
      <c r="P5" s="389">
        <v>485.6</v>
      </c>
      <c r="Q5" s="389">
        <v>502.3</v>
      </c>
      <c r="R5" s="389">
        <v>527.4</v>
      </c>
      <c r="S5" s="389">
        <v>506.5</v>
      </c>
      <c r="T5" s="389">
        <v>519.1</v>
      </c>
      <c r="U5" s="389">
        <v>485.6</v>
      </c>
      <c r="V5" s="389">
        <v>481.4</v>
      </c>
      <c r="W5" s="389">
        <v>418.6</v>
      </c>
    </row>
    <row r="6" spans="1:23" x14ac:dyDescent="0.2">
      <c r="A6" s="387">
        <v>423</v>
      </c>
      <c r="B6" s="389">
        <v>510.7</v>
      </c>
      <c r="C6" s="389">
        <v>510.7</v>
      </c>
      <c r="D6" s="389">
        <v>510.7</v>
      </c>
      <c r="E6" s="389">
        <v>506.5</v>
      </c>
      <c r="F6" s="389">
        <v>514.9</v>
      </c>
      <c r="G6" s="389">
        <v>527.4</v>
      </c>
      <c r="H6" s="389">
        <v>531.6</v>
      </c>
      <c r="I6" s="389">
        <v>531.6</v>
      </c>
      <c r="J6" s="389">
        <v>502.3</v>
      </c>
      <c r="K6" s="389">
        <v>510.7</v>
      </c>
      <c r="L6" s="389">
        <v>514.9</v>
      </c>
      <c r="M6" s="389">
        <v>519.1</v>
      </c>
      <c r="N6" s="389">
        <v>514.9</v>
      </c>
      <c r="O6" s="389">
        <v>514.9</v>
      </c>
      <c r="P6" s="389">
        <v>506.5</v>
      </c>
      <c r="Q6" s="389">
        <v>514.9</v>
      </c>
      <c r="R6" s="389">
        <v>552.6</v>
      </c>
      <c r="S6" s="389">
        <v>514.9</v>
      </c>
      <c r="T6" s="389">
        <v>531.6</v>
      </c>
      <c r="U6" s="389">
        <v>510.7</v>
      </c>
      <c r="V6" s="389">
        <v>502.3</v>
      </c>
      <c r="W6" s="389">
        <v>431.2</v>
      </c>
    </row>
    <row r="7" spans="1:23" x14ac:dyDescent="0.2">
      <c r="A7" s="387">
        <v>473</v>
      </c>
      <c r="B7" s="389">
        <v>527.4</v>
      </c>
      <c r="C7" s="389">
        <v>531.6</v>
      </c>
      <c r="D7" s="389">
        <v>527.4</v>
      </c>
      <c r="E7" s="389">
        <v>519.1</v>
      </c>
      <c r="F7" s="389">
        <v>527.4</v>
      </c>
      <c r="G7" s="389">
        <v>540</v>
      </c>
      <c r="H7" s="389">
        <v>544.20000000000005</v>
      </c>
      <c r="I7" s="389">
        <v>544.20000000000005</v>
      </c>
      <c r="J7" s="389">
        <v>519.1</v>
      </c>
      <c r="K7" s="389">
        <v>527.4</v>
      </c>
      <c r="L7" s="389">
        <v>527.4</v>
      </c>
      <c r="M7" s="389">
        <v>527.4</v>
      </c>
      <c r="N7" s="389">
        <v>535.79999999999995</v>
      </c>
      <c r="O7" s="389">
        <v>527.4</v>
      </c>
      <c r="P7" s="389">
        <v>523.29999999999995</v>
      </c>
      <c r="Q7" s="389">
        <v>535.79999999999995</v>
      </c>
      <c r="R7" s="389">
        <v>573.5</v>
      </c>
      <c r="S7" s="389">
        <v>527.4</v>
      </c>
      <c r="T7" s="389">
        <v>535.79999999999995</v>
      </c>
      <c r="U7" s="389">
        <v>523.29999999999995</v>
      </c>
      <c r="V7" s="389">
        <v>523.29999999999995</v>
      </c>
      <c r="W7" s="389">
        <v>443.7</v>
      </c>
    </row>
    <row r="8" spans="1:23" x14ac:dyDescent="0.2">
      <c r="A8" s="387">
        <v>523</v>
      </c>
      <c r="B8" s="389">
        <v>544.20000000000005</v>
      </c>
      <c r="C8" s="389">
        <v>548.4</v>
      </c>
      <c r="D8" s="389">
        <v>544.20000000000005</v>
      </c>
      <c r="E8" s="389">
        <v>540</v>
      </c>
      <c r="F8" s="389">
        <v>544.20000000000005</v>
      </c>
      <c r="G8" s="389">
        <v>556.70000000000005</v>
      </c>
      <c r="H8" s="389">
        <v>556.70000000000005</v>
      </c>
      <c r="I8" s="389">
        <v>552.6</v>
      </c>
      <c r="J8" s="389">
        <v>535.79999999999995</v>
      </c>
      <c r="K8" s="389">
        <v>544.20000000000005</v>
      </c>
      <c r="L8" s="389">
        <v>552.6</v>
      </c>
      <c r="M8" s="389">
        <v>544.20000000000005</v>
      </c>
      <c r="N8" s="389">
        <v>548.4</v>
      </c>
      <c r="O8" s="389">
        <v>544.20000000000005</v>
      </c>
      <c r="P8" s="389">
        <v>535.79999999999995</v>
      </c>
      <c r="Q8" s="389">
        <v>548.4</v>
      </c>
      <c r="R8" s="389">
        <v>586</v>
      </c>
      <c r="S8" s="389">
        <v>540</v>
      </c>
      <c r="T8" s="389">
        <v>544.20000000000005</v>
      </c>
      <c r="U8" s="389">
        <v>540</v>
      </c>
      <c r="V8" s="389">
        <v>540</v>
      </c>
      <c r="W8" s="389">
        <v>460.5</v>
      </c>
    </row>
    <row r="9" spans="1:23" x14ac:dyDescent="0.2">
      <c r="A9" s="387">
        <v>573</v>
      </c>
      <c r="B9" s="389">
        <v>560.9</v>
      </c>
      <c r="C9" s="389">
        <v>560.9</v>
      </c>
      <c r="D9" s="389">
        <v>565.1</v>
      </c>
      <c r="E9" s="389">
        <v>560.9</v>
      </c>
      <c r="F9" s="389">
        <v>565.1</v>
      </c>
      <c r="G9" s="389">
        <v>577.70000000000005</v>
      </c>
      <c r="H9" s="389">
        <v>573.5</v>
      </c>
      <c r="I9" s="389">
        <v>569.29999999999995</v>
      </c>
      <c r="J9" s="389">
        <v>552.6</v>
      </c>
      <c r="K9" s="389">
        <v>560.9</v>
      </c>
      <c r="L9" s="389">
        <v>573.5</v>
      </c>
      <c r="M9" s="389">
        <v>560.9</v>
      </c>
      <c r="N9" s="389">
        <v>569.29999999999995</v>
      </c>
      <c r="O9" s="389">
        <v>565.1</v>
      </c>
      <c r="P9" s="389">
        <v>556.70000000000005</v>
      </c>
      <c r="Q9" s="389">
        <v>565.1</v>
      </c>
      <c r="R9" s="389">
        <v>602.79999999999995</v>
      </c>
      <c r="S9" s="389">
        <v>548.4</v>
      </c>
      <c r="T9" s="389">
        <v>552.6</v>
      </c>
      <c r="U9" s="389">
        <v>565.1</v>
      </c>
      <c r="V9" s="389">
        <v>556.70000000000005</v>
      </c>
      <c r="W9" s="389">
        <v>477.2</v>
      </c>
    </row>
    <row r="10" spans="1:23" x14ac:dyDescent="0.2">
      <c r="A10" s="387">
        <v>623</v>
      </c>
      <c r="B10" s="389">
        <v>581.9</v>
      </c>
      <c r="C10" s="389">
        <v>581.9</v>
      </c>
      <c r="D10" s="389">
        <v>586</v>
      </c>
      <c r="E10" s="389">
        <v>577.70000000000005</v>
      </c>
      <c r="F10" s="389">
        <v>586</v>
      </c>
      <c r="G10" s="389">
        <v>594.4</v>
      </c>
      <c r="H10" s="389">
        <v>594.4</v>
      </c>
      <c r="I10" s="389">
        <v>586</v>
      </c>
      <c r="J10" s="389">
        <v>577.70000000000005</v>
      </c>
      <c r="K10" s="389">
        <v>577.70000000000005</v>
      </c>
      <c r="L10" s="389">
        <v>586</v>
      </c>
      <c r="M10" s="389">
        <v>581.9</v>
      </c>
      <c r="N10" s="389">
        <v>594.4</v>
      </c>
      <c r="O10" s="389">
        <v>586</v>
      </c>
      <c r="P10" s="389">
        <v>581.9</v>
      </c>
      <c r="Q10" s="389">
        <v>590.20000000000005</v>
      </c>
      <c r="R10" s="389">
        <v>607</v>
      </c>
      <c r="S10" s="389">
        <v>544.20000000000005</v>
      </c>
      <c r="T10" s="389">
        <v>560.9</v>
      </c>
      <c r="U10" s="389">
        <v>590.20000000000005</v>
      </c>
      <c r="V10" s="389">
        <v>581.9</v>
      </c>
      <c r="W10" s="389">
        <v>494</v>
      </c>
    </row>
    <row r="11" spans="1:23" x14ac:dyDescent="0.2">
      <c r="A11" s="387">
        <v>673</v>
      </c>
      <c r="B11" s="389">
        <v>611.20000000000005</v>
      </c>
      <c r="C11" s="389">
        <v>611.20000000000005</v>
      </c>
      <c r="D11" s="389">
        <v>611.20000000000005</v>
      </c>
      <c r="E11" s="389">
        <v>598.6</v>
      </c>
      <c r="F11" s="389">
        <v>602.79999999999995</v>
      </c>
      <c r="G11" s="389">
        <v>615.29999999999995</v>
      </c>
      <c r="H11" s="389">
        <v>619.5</v>
      </c>
      <c r="I11" s="389">
        <v>607</v>
      </c>
      <c r="J11" s="389">
        <v>602.79999999999995</v>
      </c>
      <c r="K11" s="389">
        <v>602.79999999999995</v>
      </c>
      <c r="L11" s="389">
        <v>615.29999999999995</v>
      </c>
      <c r="M11" s="389">
        <v>611.20000000000005</v>
      </c>
      <c r="N11" s="389">
        <v>619.5</v>
      </c>
      <c r="O11" s="389">
        <v>607</v>
      </c>
      <c r="P11" s="389">
        <v>602.79999999999995</v>
      </c>
      <c r="Q11" s="389">
        <v>615.29999999999995</v>
      </c>
      <c r="R11" s="389">
        <v>611.20000000000005</v>
      </c>
      <c r="S11" s="389">
        <v>540</v>
      </c>
      <c r="T11" s="389">
        <v>577.70000000000005</v>
      </c>
      <c r="U11" s="389">
        <v>619.5</v>
      </c>
      <c r="V11" s="389">
        <v>615.29999999999995</v>
      </c>
      <c r="W11" s="389">
        <v>510.7</v>
      </c>
    </row>
    <row r="12" spans="1:23" x14ac:dyDescent="0.2">
      <c r="A12" s="387">
        <v>723</v>
      </c>
      <c r="B12" s="389">
        <v>644.70000000000005</v>
      </c>
      <c r="C12" s="389">
        <v>644.70000000000005</v>
      </c>
      <c r="D12" s="389">
        <v>644.70000000000005</v>
      </c>
      <c r="E12" s="389">
        <v>632.1</v>
      </c>
      <c r="F12" s="389">
        <v>627.9</v>
      </c>
      <c r="G12" s="389">
        <v>648.79999999999995</v>
      </c>
      <c r="H12" s="389">
        <v>648.79999999999995</v>
      </c>
      <c r="I12" s="389">
        <v>627.9</v>
      </c>
      <c r="J12" s="389">
        <v>632.1</v>
      </c>
      <c r="K12" s="389">
        <v>640.5</v>
      </c>
      <c r="L12" s="389">
        <v>653</v>
      </c>
      <c r="M12" s="389">
        <v>644.70000000000005</v>
      </c>
      <c r="N12" s="389">
        <v>653</v>
      </c>
      <c r="O12" s="389">
        <v>640.5</v>
      </c>
      <c r="P12" s="389">
        <v>632.1</v>
      </c>
      <c r="Q12" s="389">
        <v>648.79999999999995</v>
      </c>
      <c r="R12" s="389">
        <v>615.29999999999995</v>
      </c>
      <c r="S12" s="389">
        <v>556.70000000000005</v>
      </c>
      <c r="T12" s="389">
        <v>590.20000000000005</v>
      </c>
      <c r="U12" s="389">
        <v>661.4</v>
      </c>
      <c r="V12" s="389">
        <v>657.2</v>
      </c>
      <c r="W12" s="389">
        <v>535.79999999999995</v>
      </c>
    </row>
    <row r="13" spans="1:23" x14ac:dyDescent="0.2">
      <c r="A13" s="387">
        <v>773</v>
      </c>
      <c r="B13" s="389">
        <v>682.3</v>
      </c>
      <c r="C13" s="389">
        <v>678.1</v>
      </c>
      <c r="D13" s="389">
        <v>682.3</v>
      </c>
      <c r="E13" s="389">
        <v>669.8</v>
      </c>
      <c r="F13" s="389">
        <v>657.2</v>
      </c>
      <c r="G13" s="389">
        <v>682.3</v>
      </c>
      <c r="H13" s="389">
        <v>686.5</v>
      </c>
      <c r="I13" s="389">
        <v>648.79999999999995</v>
      </c>
      <c r="J13" s="389">
        <v>674</v>
      </c>
      <c r="K13" s="389">
        <v>682.3</v>
      </c>
      <c r="L13" s="389">
        <v>694.9</v>
      </c>
      <c r="M13" s="389">
        <v>686.5</v>
      </c>
      <c r="N13" s="389">
        <v>694.9</v>
      </c>
      <c r="O13" s="389">
        <v>678.1</v>
      </c>
      <c r="P13" s="389">
        <v>674</v>
      </c>
      <c r="Q13" s="389">
        <v>686.5</v>
      </c>
      <c r="R13" s="389">
        <v>653</v>
      </c>
      <c r="S13" s="389">
        <v>573.5</v>
      </c>
      <c r="T13" s="389">
        <v>611.20000000000005</v>
      </c>
      <c r="U13" s="389">
        <v>703.3</v>
      </c>
      <c r="V13" s="389">
        <v>703.3</v>
      </c>
      <c r="W13" s="389">
        <v>569.29999999999995</v>
      </c>
    </row>
    <row r="14" spans="1:23" x14ac:dyDescent="0.2">
      <c r="A14" s="387">
        <v>823</v>
      </c>
      <c r="B14" s="389">
        <v>728.4</v>
      </c>
      <c r="C14" s="389">
        <v>720</v>
      </c>
      <c r="D14" s="389">
        <v>724.2</v>
      </c>
      <c r="E14" s="389">
        <v>699.1</v>
      </c>
      <c r="F14" s="389">
        <v>694.9</v>
      </c>
      <c r="G14" s="389">
        <v>703.3</v>
      </c>
      <c r="H14" s="389">
        <v>728.4</v>
      </c>
      <c r="I14" s="389">
        <v>678.1</v>
      </c>
      <c r="J14" s="389">
        <v>720</v>
      </c>
      <c r="K14" s="389">
        <v>724.2</v>
      </c>
      <c r="L14" s="389">
        <v>749.3</v>
      </c>
      <c r="M14" s="389">
        <v>736.7</v>
      </c>
      <c r="N14" s="389">
        <v>745.1</v>
      </c>
      <c r="O14" s="389">
        <v>715.8</v>
      </c>
      <c r="P14" s="389">
        <v>715.8</v>
      </c>
      <c r="Q14" s="389">
        <v>728.4</v>
      </c>
      <c r="R14" s="389">
        <v>699.1</v>
      </c>
      <c r="S14" s="389">
        <v>581.9</v>
      </c>
      <c r="T14" s="389">
        <v>640.5</v>
      </c>
      <c r="U14" s="389">
        <v>753.5</v>
      </c>
      <c r="V14" s="389">
        <v>749.3</v>
      </c>
      <c r="W14" s="389">
        <v>590.20000000000005</v>
      </c>
    </row>
    <row r="15" spans="1:23" x14ac:dyDescent="0.2">
      <c r="A15" s="387">
        <v>873</v>
      </c>
      <c r="B15" s="389">
        <v>778.6</v>
      </c>
      <c r="C15" s="389">
        <v>766</v>
      </c>
      <c r="D15" s="389">
        <v>766</v>
      </c>
      <c r="E15" s="389">
        <v>720</v>
      </c>
      <c r="F15" s="389">
        <v>740.9</v>
      </c>
      <c r="G15" s="389">
        <v>720</v>
      </c>
      <c r="H15" s="389">
        <v>766</v>
      </c>
      <c r="I15" s="389">
        <v>720</v>
      </c>
      <c r="J15" s="389">
        <v>757.7</v>
      </c>
      <c r="K15" s="389">
        <v>770.2</v>
      </c>
      <c r="L15" s="389">
        <v>795.3</v>
      </c>
      <c r="M15" s="389">
        <v>782.8</v>
      </c>
      <c r="N15" s="389">
        <v>795.3</v>
      </c>
      <c r="O15" s="389">
        <v>757.7</v>
      </c>
      <c r="P15" s="389">
        <v>753.5</v>
      </c>
      <c r="Q15" s="389">
        <v>766</v>
      </c>
      <c r="R15" s="389">
        <v>674</v>
      </c>
      <c r="S15" s="389">
        <v>590.20000000000005</v>
      </c>
      <c r="T15" s="389">
        <v>640.5</v>
      </c>
      <c r="U15" s="389">
        <v>799.5</v>
      </c>
      <c r="V15" s="389">
        <v>807.9</v>
      </c>
      <c r="W15" s="389">
        <v>602.79999999999995</v>
      </c>
    </row>
    <row r="16" spans="1:23" x14ac:dyDescent="0.2">
      <c r="A16" s="387">
        <v>923</v>
      </c>
      <c r="B16" s="389">
        <v>833</v>
      </c>
      <c r="C16" s="389">
        <v>820.5</v>
      </c>
      <c r="D16" s="389">
        <v>816.3</v>
      </c>
      <c r="E16" s="389">
        <v>749.3</v>
      </c>
      <c r="F16" s="389">
        <v>807.9</v>
      </c>
      <c r="G16" s="389">
        <v>749.3</v>
      </c>
      <c r="H16" s="389">
        <v>807.9</v>
      </c>
      <c r="I16" s="389">
        <v>782.8</v>
      </c>
      <c r="J16" s="389">
        <v>807.1</v>
      </c>
      <c r="K16" s="389">
        <v>1214</v>
      </c>
      <c r="L16" s="389">
        <v>1059</v>
      </c>
      <c r="M16" s="389">
        <v>975.3</v>
      </c>
      <c r="N16" s="389">
        <v>937.7</v>
      </c>
      <c r="O16" s="389">
        <v>807.9</v>
      </c>
      <c r="P16" s="389">
        <v>799.5</v>
      </c>
      <c r="Q16" s="389">
        <v>803.7</v>
      </c>
      <c r="R16" s="389">
        <v>644.70000000000005</v>
      </c>
      <c r="S16" s="389">
        <v>590.20000000000005</v>
      </c>
      <c r="T16" s="389">
        <v>627.9</v>
      </c>
      <c r="U16" s="389">
        <v>845.6</v>
      </c>
      <c r="V16" s="389">
        <v>887.4</v>
      </c>
      <c r="W16" s="389">
        <v>623.70000000000005</v>
      </c>
    </row>
    <row r="17" spans="1:23" x14ac:dyDescent="0.2">
      <c r="A17" s="387">
        <v>973</v>
      </c>
      <c r="B17" s="389">
        <v>983.7</v>
      </c>
      <c r="C17" s="389">
        <v>996.3</v>
      </c>
      <c r="D17" s="389">
        <v>1139</v>
      </c>
      <c r="E17" s="389">
        <v>1176</v>
      </c>
      <c r="F17" s="389">
        <v>1344</v>
      </c>
      <c r="G17" s="389">
        <v>1423</v>
      </c>
      <c r="H17" s="389">
        <v>1511</v>
      </c>
      <c r="I17" s="389">
        <v>1453</v>
      </c>
      <c r="J17" s="389">
        <v>1147</v>
      </c>
      <c r="K17" s="389">
        <v>1293</v>
      </c>
      <c r="L17" s="389">
        <v>1239</v>
      </c>
      <c r="M17" s="389">
        <v>1264</v>
      </c>
      <c r="N17" s="389">
        <v>1356</v>
      </c>
      <c r="O17" s="389">
        <v>1168</v>
      </c>
      <c r="P17" s="389">
        <v>1218</v>
      </c>
      <c r="Q17" s="389">
        <v>866.5</v>
      </c>
      <c r="R17" s="389">
        <v>644.70000000000005</v>
      </c>
      <c r="S17" s="389">
        <v>586</v>
      </c>
      <c r="T17" s="389">
        <v>623.70000000000005</v>
      </c>
      <c r="U17" s="389">
        <v>891.6</v>
      </c>
      <c r="V17" s="389">
        <v>958.6</v>
      </c>
      <c r="W17" s="389">
        <v>678.1</v>
      </c>
    </row>
    <row r="18" spans="1:23" x14ac:dyDescent="0.2">
      <c r="A18" s="387">
        <v>1023</v>
      </c>
      <c r="B18" s="389">
        <v>987.9</v>
      </c>
      <c r="C18" s="389">
        <v>1051</v>
      </c>
      <c r="D18" s="389">
        <v>1193</v>
      </c>
      <c r="E18" s="389">
        <v>1101</v>
      </c>
      <c r="F18" s="389">
        <v>1348</v>
      </c>
      <c r="G18" s="389">
        <v>1344</v>
      </c>
      <c r="H18" s="389">
        <v>1407</v>
      </c>
      <c r="I18" s="389">
        <v>1369</v>
      </c>
      <c r="J18" s="389">
        <v>1135</v>
      </c>
      <c r="K18" s="389">
        <v>778.6</v>
      </c>
      <c r="L18" s="389">
        <v>866.5</v>
      </c>
      <c r="M18" s="389">
        <v>975.3</v>
      </c>
      <c r="N18" s="389">
        <v>1147</v>
      </c>
      <c r="O18" s="389">
        <v>1218</v>
      </c>
      <c r="P18" s="389">
        <v>1247</v>
      </c>
      <c r="Q18" s="389">
        <v>1134</v>
      </c>
      <c r="R18" s="389">
        <v>648.79999999999995</v>
      </c>
      <c r="S18" s="389">
        <v>586</v>
      </c>
      <c r="T18" s="389">
        <v>632.1</v>
      </c>
      <c r="U18" s="389">
        <v>795.3</v>
      </c>
      <c r="V18" s="389">
        <v>887.4</v>
      </c>
      <c r="W18" s="389">
        <v>720</v>
      </c>
    </row>
    <row r="19" spans="1:23" x14ac:dyDescent="0.2">
      <c r="A19" s="387">
        <v>1073</v>
      </c>
      <c r="B19" s="389">
        <v>837.2</v>
      </c>
      <c r="C19" s="389">
        <v>912.6</v>
      </c>
      <c r="D19" s="389">
        <v>845.6</v>
      </c>
      <c r="E19" s="389">
        <v>565.1</v>
      </c>
      <c r="F19" s="389">
        <v>736.7</v>
      </c>
      <c r="G19" s="389">
        <v>636.29999999999995</v>
      </c>
      <c r="H19" s="389">
        <v>623.70000000000005</v>
      </c>
      <c r="I19" s="389">
        <v>653</v>
      </c>
      <c r="J19" s="389">
        <v>686.5</v>
      </c>
      <c r="K19" s="389">
        <v>615.29999999999995</v>
      </c>
      <c r="L19" s="389">
        <v>565.1</v>
      </c>
      <c r="M19" s="389">
        <v>569.29999999999995</v>
      </c>
      <c r="N19" s="389">
        <v>636.29999999999995</v>
      </c>
      <c r="O19" s="389">
        <v>749.3</v>
      </c>
      <c r="P19" s="389">
        <v>728.4</v>
      </c>
      <c r="Q19" s="389">
        <v>987.9</v>
      </c>
      <c r="R19" s="389">
        <v>653</v>
      </c>
      <c r="S19" s="389">
        <v>586</v>
      </c>
      <c r="T19" s="389">
        <v>644.70000000000005</v>
      </c>
      <c r="U19" s="389">
        <v>745.1</v>
      </c>
      <c r="V19" s="389">
        <v>870.7</v>
      </c>
      <c r="W19" s="389">
        <v>699.1</v>
      </c>
    </row>
    <row r="20" spans="1:23" x14ac:dyDescent="0.2">
      <c r="A20" s="387">
        <v>1123</v>
      </c>
      <c r="B20" s="389">
        <v>820.5</v>
      </c>
      <c r="C20" s="389">
        <v>837.2</v>
      </c>
      <c r="D20" s="389">
        <v>690.7</v>
      </c>
      <c r="E20" s="389">
        <v>527.4</v>
      </c>
      <c r="F20" s="389">
        <v>598.6</v>
      </c>
      <c r="G20" s="389">
        <v>640.5</v>
      </c>
      <c r="H20" s="389">
        <v>619.5</v>
      </c>
      <c r="I20" s="389">
        <v>636.29999999999995</v>
      </c>
      <c r="J20" s="389">
        <v>544.20000000000005</v>
      </c>
      <c r="K20" s="389">
        <v>636.29999999999995</v>
      </c>
      <c r="L20" s="389">
        <v>573.5</v>
      </c>
      <c r="M20" s="389">
        <v>573.5</v>
      </c>
      <c r="N20" s="389">
        <v>636.29999999999995</v>
      </c>
      <c r="O20" s="389">
        <v>569.29999999999995</v>
      </c>
      <c r="P20" s="389">
        <v>577.70000000000005</v>
      </c>
      <c r="Q20" s="389">
        <v>619.5</v>
      </c>
      <c r="R20" s="389">
        <v>661.4</v>
      </c>
      <c r="S20" s="389">
        <v>590.20000000000005</v>
      </c>
      <c r="T20" s="389">
        <v>644.70000000000005</v>
      </c>
      <c r="U20" s="389">
        <v>736.7</v>
      </c>
      <c r="V20" s="389">
        <v>807.9</v>
      </c>
      <c r="W20" s="389">
        <v>707.4</v>
      </c>
    </row>
    <row r="21" spans="1:23" x14ac:dyDescent="0.2">
      <c r="A21" s="387">
        <v>1173</v>
      </c>
      <c r="B21" s="389">
        <v>749.3</v>
      </c>
      <c r="C21" s="389">
        <v>732.6</v>
      </c>
      <c r="D21" s="389">
        <v>648.79999999999995</v>
      </c>
      <c r="E21" s="389">
        <v>586</v>
      </c>
      <c r="F21" s="389">
        <v>607</v>
      </c>
      <c r="G21" s="389">
        <v>619.5</v>
      </c>
      <c r="H21" s="389">
        <v>619.5</v>
      </c>
      <c r="I21" s="389">
        <v>623.70000000000005</v>
      </c>
      <c r="J21" s="389">
        <v>560.9</v>
      </c>
      <c r="K21" s="389">
        <v>644.70000000000005</v>
      </c>
      <c r="L21" s="389">
        <v>607</v>
      </c>
      <c r="M21" s="389">
        <v>598.6</v>
      </c>
      <c r="N21" s="389">
        <v>640.5</v>
      </c>
      <c r="O21" s="389">
        <v>594.4</v>
      </c>
      <c r="P21" s="389">
        <v>590.20000000000005</v>
      </c>
      <c r="Q21" s="389">
        <v>627.9</v>
      </c>
      <c r="R21" s="389">
        <v>665.6</v>
      </c>
      <c r="S21" s="389">
        <v>594.4</v>
      </c>
      <c r="T21" s="389">
        <v>644.70000000000005</v>
      </c>
      <c r="U21" s="389">
        <v>661.4</v>
      </c>
      <c r="V21" s="389">
        <v>653</v>
      </c>
      <c r="W21" s="389">
        <v>657.2</v>
      </c>
    </row>
    <row r="22" spans="1:23" x14ac:dyDescent="0.2">
      <c r="A22" s="387">
        <v>1223</v>
      </c>
      <c r="B22" s="389">
        <v>665.6</v>
      </c>
      <c r="C22" s="389">
        <v>653</v>
      </c>
      <c r="D22" s="389">
        <v>648.79999999999995</v>
      </c>
      <c r="E22" s="389">
        <v>623.70000000000005</v>
      </c>
      <c r="F22" s="389">
        <v>627.9</v>
      </c>
      <c r="G22" s="389">
        <v>627.9</v>
      </c>
      <c r="H22" s="389">
        <v>615.29999999999995</v>
      </c>
      <c r="I22" s="389">
        <v>623.70000000000005</v>
      </c>
      <c r="J22" s="389">
        <v>594.4</v>
      </c>
      <c r="K22" s="389">
        <v>644.70000000000005</v>
      </c>
      <c r="L22" s="389">
        <v>636.29999999999995</v>
      </c>
      <c r="M22" s="389">
        <v>627.9</v>
      </c>
      <c r="N22" s="389">
        <v>636.29999999999995</v>
      </c>
      <c r="O22" s="389">
        <v>619.5</v>
      </c>
      <c r="P22" s="389">
        <v>598.6</v>
      </c>
      <c r="Q22" s="389">
        <v>632.1</v>
      </c>
      <c r="R22" s="389">
        <v>669.8</v>
      </c>
      <c r="S22" s="389">
        <v>594.4</v>
      </c>
      <c r="T22" s="389">
        <v>648.79999999999995</v>
      </c>
      <c r="U22" s="389">
        <v>648.79999999999995</v>
      </c>
      <c r="V22" s="389">
        <v>648.79999999999995</v>
      </c>
      <c r="W22" s="389">
        <v>586</v>
      </c>
    </row>
    <row r="23" spans="1:23" x14ac:dyDescent="0.2">
      <c r="A23" s="387">
        <v>1273</v>
      </c>
      <c r="B23" s="389">
        <v>669.8</v>
      </c>
      <c r="C23" s="389">
        <v>657.2</v>
      </c>
      <c r="D23" s="389">
        <v>648.79999999999995</v>
      </c>
      <c r="E23" s="389">
        <v>627.9</v>
      </c>
      <c r="F23" s="389">
        <v>627.9</v>
      </c>
      <c r="G23" s="389">
        <v>636.29999999999995</v>
      </c>
      <c r="H23" s="389">
        <v>619.5</v>
      </c>
      <c r="I23" s="389">
        <v>632.1</v>
      </c>
      <c r="J23" s="389">
        <v>602.79999999999995</v>
      </c>
      <c r="K23" s="389">
        <v>644.70000000000005</v>
      </c>
      <c r="L23" s="389">
        <v>636.29999999999995</v>
      </c>
      <c r="M23" s="389">
        <v>644.70000000000005</v>
      </c>
      <c r="N23" s="389">
        <v>632.1</v>
      </c>
      <c r="O23" s="389">
        <v>627.9</v>
      </c>
      <c r="P23" s="389">
        <v>607</v>
      </c>
      <c r="Q23" s="389">
        <v>640.5</v>
      </c>
      <c r="R23" s="389">
        <v>678.1</v>
      </c>
      <c r="S23" s="389">
        <v>598.6</v>
      </c>
      <c r="T23" s="389">
        <v>653</v>
      </c>
      <c r="U23" s="389">
        <v>648.79999999999995</v>
      </c>
      <c r="V23" s="389">
        <v>644.70000000000005</v>
      </c>
      <c r="W23" s="389">
        <v>602.79999999999995</v>
      </c>
    </row>
    <row r="24" spans="1:23" x14ac:dyDescent="0.2">
      <c r="A24" s="387">
        <v>1323</v>
      </c>
      <c r="B24" s="389">
        <v>669.8</v>
      </c>
      <c r="C24" s="389">
        <v>661.4</v>
      </c>
      <c r="D24" s="389">
        <v>648.79999999999995</v>
      </c>
      <c r="E24" s="389">
        <v>632.1</v>
      </c>
      <c r="F24" s="389">
        <v>627.9</v>
      </c>
      <c r="G24" s="389">
        <v>644.70000000000005</v>
      </c>
      <c r="H24" s="389">
        <v>632.1</v>
      </c>
      <c r="I24" s="389">
        <v>640.5</v>
      </c>
      <c r="J24" s="389">
        <v>611.20000000000005</v>
      </c>
      <c r="K24" s="389">
        <v>644.70000000000005</v>
      </c>
      <c r="L24" s="389">
        <v>636.29999999999995</v>
      </c>
      <c r="M24" s="389">
        <v>648.79999999999995</v>
      </c>
      <c r="N24" s="389">
        <v>636.29999999999995</v>
      </c>
      <c r="O24" s="389">
        <v>627.9</v>
      </c>
      <c r="P24" s="389">
        <v>611.20000000000005</v>
      </c>
      <c r="Q24" s="389">
        <v>648.79999999999995</v>
      </c>
      <c r="R24" s="389">
        <v>682.3</v>
      </c>
      <c r="S24" s="389">
        <v>602.79999999999995</v>
      </c>
      <c r="T24" s="389">
        <v>657.2</v>
      </c>
      <c r="U24" s="389">
        <v>653</v>
      </c>
      <c r="V24" s="389">
        <v>644.70000000000005</v>
      </c>
      <c r="W24" s="389">
        <v>615.29999999999995</v>
      </c>
    </row>
    <row r="25" spans="1:23" x14ac:dyDescent="0.2">
      <c r="A25" s="387">
        <v>1373</v>
      </c>
      <c r="B25" s="389">
        <v>669.8</v>
      </c>
      <c r="C25" s="389">
        <v>661.4</v>
      </c>
      <c r="D25" s="389">
        <v>653</v>
      </c>
      <c r="E25" s="389">
        <v>636.29999999999995</v>
      </c>
      <c r="F25" s="389">
        <v>636.29999999999995</v>
      </c>
      <c r="G25" s="389">
        <v>657.2</v>
      </c>
      <c r="H25" s="389">
        <v>644.70000000000005</v>
      </c>
      <c r="I25" s="389">
        <v>644.70000000000005</v>
      </c>
      <c r="J25" s="389">
        <v>619.5</v>
      </c>
      <c r="K25" s="389">
        <v>640.5</v>
      </c>
      <c r="L25" s="389">
        <v>644.70000000000005</v>
      </c>
      <c r="M25" s="389">
        <v>653</v>
      </c>
      <c r="N25" s="389">
        <v>636.29999999999995</v>
      </c>
      <c r="O25" s="389">
        <v>619.5</v>
      </c>
      <c r="P25" s="389">
        <v>619.5</v>
      </c>
      <c r="Q25" s="389">
        <v>657.2</v>
      </c>
      <c r="R25" s="389">
        <v>690.7</v>
      </c>
      <c r="S25" s="389">
        <v>607</v>
      </c>
      <c r="T25" s="389">
        <v>665.6</v>
      </c>
      <c r="U25" s="389">
        <v>653</v>
      </c>
      <c r="V25" s="389">
        <v>648.79999999999995</v>
      </c>
      <c r="W25" s="389">
        <v>611.20000000000005</v>
      </c>
    </row>
    <row r="26" spans="1:23" x14ac:dyDescent="0.2">
      <c r="A26" s="387">
        <v>1423</v>
      </c>
      <c r="B26" s="389">
        <v>669.8</v>
      </c>
      <c r="C26" s="389">
        <v>661.4</v>
      </c>
      <c r="D26" s="389">
        <v>661.4</v>
      </c>
      <c r="E26" s="389">
        <v>648.79999999999995</v>
      </c>
      <c r="F26" s="389">
        <v>648.79999999999995</v>
      </c>
      <c r="G26" s="389">
        <v>665.6</v>
      </c>
      <c r="H26" s="389">
        <v>661.4</v>
      </c>
      <c r="I26" s="389">
        <v>653</v>
      </c>
      <c r="J26" s="389">
        <v>627.9</v>
      </c>
      <c r="K26" s="389">
        <v>644.70000000000005</v>
      </c>
      <c r="L26" s="389">
        <v>653</v>
      </c>
      <c r="M26" s="389">
        <v>657.2</v>
      </c>
      <c r="N26" s="389">
        <v>640.5</v>
      </c>
      <c r="O26" s="389">
        <v>619.5</v>
      </c>
      <c r="P26" s="389">
        <v>632.1</v>
      </c>
      <c r="Q26" s="389">
        <v>665.6</v>
      </c>
      <c r="R26" s="389">
        <v>694.9</v>
      </c>
      <c r="S26" s="389">
        <v>615.29999999999995</v>
      </c>
      <c r="T26" s="389">
        <v>669.8</v>
      </c>
      <c r="U26" s="389">
        <v>648.79999999999995</v>
      </c>
      <c r="V26" s="389">
        <v>653</v>
      </c>
      <c r="W26" s="389">
        <v>611.20000000000005</v>
      </c>
    </row>
    <row r="27" spans="1:23" x14ac:dyDescent="0.2">
      <c r="A27" s="387">
        <v>1473</v>
      </c>
      <c r="B27" s="389">
        <v>669.8</v>
      </c>
      <c r="C27" s="389">
        <v>661.4</v>
      </c>
      <c r="D27" s="389">
        <v>669.8</v>
      </c>
      <c r="E27" s="389">
        <v>661.4</v>
      </c>
      <c r="F27" s="389">
        <v>661.4</v>
      </c>
      <c r="G27" s="389">
        <v>674</v>
      </c>
      <c r="H27" s="389">
        <v>674</v>
      </c>
      <c r="I27" s="389">
        <v>661.4</v>
      </c>
      <c r="J27" s="389">
        <v>636.29999999999995</v>
      </c>
      <c r="K27" s="389">
        <v>653</v>
      </c>
      <c r="L27" s="389">
        <v>653</v>
      </c>
      <c r="M27" s="389">
        <v>661.4</v>
      </c>
      <c r="N27" s="389">
        <v>644.70000000000005</v>
      </c>
      <c r="O27" s="389">
        <v>627.9</v>
      </c>
      <c r="P27" s="389">
        <v>636.29999999999995</v>
      </c>
      <c r="Q27" s="389">
        <v>674</v>
      </c>
      <c r="R27" s="389">
        <v>699.1</v>
      </c>
      <c r="S27" s="389">
        <v>632.1</v>
      </c>
      <c r="T27" s="389">
        <v>674</v>
      </c>
      <c r="U27" s="389">
        <v>648.79999999999995</v>
      </c>
      <c r="V27" s="389">
        <v>661.4</v>
      </c>
      <c r="W27" s="389">
        <v>611.20000000000005</v>
      </c>
    </row>
    <row r="28" spans="1:23" x14ac:dyDescent="0.2">
      <c r="A28" s="387">
        <v>1523</v>
      </c>
      <c r="B28" s="389">
        <v>669.8</v>
      </c>
      <c r="C28" s="389">
        <v>665.6</v>
      </c>
      <c r="D28" s="389">
        <v>682.3</v>
      </c>
      <c r="E28" s="389">
        <v>678.1</v>
      </c>
      <c r="F28" s="389">
        <v>674</v>
      </c>
      <c r="G28" s="389">
        <v>678.1</v>
      </c>
      <c r="H28" s="389">
        <v>686.5</v>
      </c>
      <c r="I28" s="389">
        <v>669.8</v>
      </c>
      <c r="J28" s="389">
        <v>640.5</v>
      </c>
      <c r="K28" s="389">
        <v>657.2</v>
      </c>
      <c r="L28" s="389">
        <v>653</v>
      </c>
      <c r="M28" s="389">
        <v>665.6</v>
      </c>
      <c r="N28" s="389">
        <v>648.79999999999995</v>
      </c>
      <c r="O28" s="389">
        <v>636.29999999999995</v>
      </c>
      <c r="P28" s="389">
        <v>640.5</v>
      </c>
      <c r="Q28" s="389">
        <v>682.3</v>
      </c>
      <c r="R28" s="389">
        <v>703.3</v>
      </c>
      <c r="S28" s="389">
        <v>653</v>
      </c>
      <c r="T28" s="389">
        <v>678.1</v>
      </c>
      <c r="U28" s="389">
        <v>653</v>
      </c>
      <c r="V28" s="389">
        <v>669.8</v>
      </c>
      <c r="W28" s="389">
        <v>607</v>
      </c>
    </row>
    <row r="29" spans="1:23" x14ac:dyDescent="0.2">
      <c r="A29" s="387">
        <v>1573</v>
      </c>
      <c r="B29" s="389">
        <v>669.8</v>
      </c>
      <c r="C29" s="389">
        <v>669.8</v>
      </c>
      <c r="D29" s="389">
        <v>686.5</v>
      </c>
      <c r="E29" s="389">
        <v>686.5</v>
      </c>
      <c r="F29" s="389">
        <v>678.1</v>
      </c>
      <c r="G29" s="389">
        <v>678.1</v>
      </c>
      <c r="H29" s="389">
        <v>694.9</v>
      </c>
      <c r="I29" s="389">
        <v>669.8</v>
      </c>
      <c r="J29" s="389">
        <v>644.70000000000005</v>
      </c>
      <c r="K29" s="389">
        <v>661.4</v>
      </c>
      <c r="L29" s="389">
        <v>653</v>
      </c>
      <c r="M29" s="389">
        <v>661.4</v>
      </c>
      <c r="N29" s="389">
        <v>653</v>
      </c>
      <c r="O29" s="389">
        <v>644.70000000000005</v>
      </c>
      <c r="P29" s="389">
        <v>644.70000000000005</v>
      </c>
      <c r="Q29" s="389">
        <v>686.5</v>
      </c>
      <c r="R29" s="389">
        <v>703.3</v>
      </c>
      <c r="S29" s="389">
        <v>661.4</v>
      </c>
      <c r="T29" s="389">
        <v>678.1</v>
      </c>
      <c r="U29" s="389">
        <v>653</v>
      </c>
      <c r="V29" s="389">
        <v>678.1</v>
      </c>
      <c r="W29" s="389">
        <v>611.20000000000005</v>
      </c>
    </row>
    <row r="30" spans="1:23" x14ac:dyDescent="0.2">
      <c r="A30" s="387">
        <v>1623</v>
      </c>
      <c r="B30" s="389">
        <v>669.8</v>
      </c>
      <c r="C30" s="389">
        <v>669.8</v>
      </c>
      <c r="D30" s="389">
        <v>686.5</v>
      </c>
      <c r="E30" s="389">
        <v>686.5</v>
      </c>
      <c r="F30" s="389">
        <v>678.1</v>
      </c>
      <c r="G30" s="389">
        <v>678.1</v>
      </c>
      <c r="H30" s="389">
        <v>694.9</v>
      </c>
      <c r="I30" s="389">
        <v>669.8</v>
      </c>
      <c r="J30" s="389">
        <v>644.70000000000005</v>
      </c>
      <c r="K30" s="389">
        <v>661.4</v>
      </c>
      <c r="L30" s="389">
        <v>653</v>
      </c>
      <c r="M30" s="389">
        <v>661.4</v>
      </c>
      <c r="N30" s="389">
        <v>653</v>
      </c>
      <c r="O30" s="389">
        <v>644.70000000000005</v>
      </c>
      <c r="P30" s="389">
        <v>644.70000000000005</v>
      </c>
      <c r="Q30" s="389">
        <v>686.5</v>
      </c>
      <c r="R30" s="389">
        <v>703.3</v>
      </c>
      <c r="S30" s="389">
        <v>661.4</v>
      </c>
      <c r="T30" s="389">
        <v>678.1</v>
      </c>
      <c r="U30" s="389">
        <v>653</v>
      </c>
      <c r="V30" s="389">
        <v>678.1</v>
      </c>
      <c r="W30" s="389">
        <v>611.20000000000005</v>
      </c>
    </row>
    <row r="31" spans="1:23" x14ac:dyDescent="0.2">
      <c r="A31" s="387">
        <v>3000</v>
      </c>
      <c r="B31" s="389">
        <v>669.8</v>
      </c>
      <c r="C31" s="389">
        <f t="shared" ref="C31:W31" si="0">C30</f>
        <v>669.8</v>
      </c>
      <c r="D31" s="389">
        <f t="shared" si="0"/>
        <v>686.5</v>
      </c>
      <c r="E31" s="389">
        <f t="shared" si="0"/>
        <v>686.5</v>
      </c>
      <c r="F31" s="389">
        <f t="shared" si="0"/>
        <v>678.1</v>
      </c>
      <c r="G31" s="389">
        <f t="shared" si="0"/>
        <v>678.1</v>
      </c>
      <c r="H31" s="389">
        <f t="shared" si="0"/>
        <v>694.9</v>
      </c>
      <c r="I31" s="389">
        <f t="shared" si="0"/>
        <v>669.8</v>
      </c>
      <c r="J31" s="389">
        <f t="shared" si="0"/>
        <v>644.70000000000005</v>
      </c>
      <c r="K31" s="389">
        <f t="shared" si="0"/>
        <v>661.4</v>
      </c>
      <c r="L31" s="389">
        <f t="shared" si="0"/>
        <v>653</v>
      </c>
      <c r="M31" s="389">
        <f t="shared" si="0"/>
        <v>661.4</v>
      </c>
      <c r="N31" s="389">
        <f t="shared" si="0"/>
        <v>653</v>
      </c>
      <c r="O31" s="389">
        <f t="shared" si="0"/>
        <v>644.70000000000005</v>
      </c>
      <c r="P31" s="389">
        <f t="shared" si="0"/>
        <v>644.70000000000005</v>
      </c>
      <c r="Q31" s="389">
        <f t="shared" si="0"/>
        <v>686.5</v>
      </c>
      <c r="R31" s="389">
        <f t="shared" si="0"/>
        <v>703.3</v>
      </c>
      <c r="S31" s="389">
        <f t="shared" si="0"/>
        <v>661.4</v>
      </c>
      <c r="T31" s="389">
        <f t="shared" si="0"/>
        <v>678.1</v>
      </c>
      <c r="U31" s="389">
        <f t="shared" si="0"/>
        <v>653</v>
      </c>
      <c r="V31" s="389">
        <f t="shared" si="0"/>
        <v>678.1</v>
      </c>
      <c r="W31" s="389">
        <f t="shared" si="0"/>
        <v>611.20000000000005</v>
      </c>
    </row>
    <row r="33" spans="1:23" s="385" customFormat="1" x14ac:dyDescent="0.2">
      <c r="A33" s="390">
        <v>5</v>
      </c>
      <c r="B33" s="384" t="s">
        <v>842</v>
      </c>
    </row>
    <row r="34" spans="1:23" s="386" customFormat="1" x14ac:dyDescent="0.2">
      <c r="A34" s="386">
        <v>22</v>
      </c>
      <c r="B34" s="386" t="s">
        <v>78</v>
      </c>
      <c r="C34" s="386" t="s">
        <v>90</v>
      </c>
      <c r="D34" s="386" t="s">
        <v>91</v>
      </c>
      <c r="E34" s="386" t="s">
        <v>92</v>
      </c>
      <c r="F34" s="386" t="s">
        <v>93</v>
      </c>
      <c r="G34" s="386" t="s">
        <v>94</v>
      </c>
      <c r="H34" s="386" t="s">
        <v>95</v>
      </c>
      <c r="I34" s="386" t="s">
        <v>96</v>
      </c>
      <c r="J34" s="386" t="s">
        <v>97</v>
      </c>
      <c r="K34" s="386" t="s">
        <v>98</v>
      </c>
      <c r="L34" s="386" t="s">
        <v>99</v>
      </c>
      <c r="M34" s="386" t="s">
        <v>100</v>
      </c>
      <c r="N34" s="386" t="s">
        <v>101</v>
      </c>
      <c r="O34" s="386" t="s">
        <v>102</v>
      </c>
      <c r="P34" s="386" t="s">
        <v>103</v>
      </c>
      <c r="Q34" s="386" t="s">
        <v>104</v>
      </c>
      <c r="R34" s="386" t="s">
        <v>105</v>
      </c>
      <c r="S34" s="386" t="s">
        <v>106</v>
      </c>
      <c r="T34" s="386" t="s">
        <v>107</v>
      </c>
      <c r="U34" s="386" t="s">
        <v>108</v>
      </c>
      <c r="V34" s="386" t="s">
        <v>109</v>
      </c>
      <c r="W34" s="386" t="s">
        <v>110</v>
      </c>
    </row>
    <row r="35" spans="1:23" x14ac:dyDescent="0.2">
      <c r="A35" s="389" t="s">
        <v>60</v>
      </c>
      <c r="B35" s="391">
        <v>2585.1999999999998</v>
      </c>
    </row>
    <row r="36" spans="1:23" x14ac:dyDescent="0.2">
      <c r="A36" s="389" t="s">
        <v>843</v>
      </c>
      <c r="B36" s="389">
        <f>-6.1575*2</f>
        <v>-12.315</v>
      </c>
    </row>
    <row r="37" spans="1:23" x14ac:dyDescent="0.2">
      <c r="A37" s="389" t="s">
        <v>844</v>
      </c>
      <c r="B37" s="389">
        <f>0.0080715*3</f>
        <v>2.42145E-2</v>
      </c>
    </row>
    <row r="38" spans="1:23" x14ac:dyDescent="0.2">
      <c r="A38" s="389" t="s">
        <v>845</v>
      </c>
      <c r="B38" s="389">
        <f>-0.0000045967*4</f>
        <v>-1.8386800000000002E-5</v>
      </c>
    </row>
    <row r="39" spans="1:23" x14ac:dyDescent="0.2">
      <c r="A39" s="389" t="s">
        <v>846</v>
      </c>
      <c r="B39" s="389">
        <f>0.00000000095184*5</f>
        <v>4.7592000000000007E-9</v>
      </c>
    </row>
    <row r="41" spans="1:23" x14ac:dyDescent="0.2">
      <c r="A41" s="389">
        <v>253</v>
      </c>
      <c r="C41" s="389">
        <v>485.6</v>
      </c>
    </row>
    <row r="42" spans="1:23" x14ac:dyDescent="0.2">
      <c r="A42" s="387">
        <v>273</v>
      </c>
      <c r="C42" s="389">
        <v>485.6</v>
      </c>
    </row>
    <row r="43" spans="1:23" x14ac:dyDescent="0.2">
      <c r="A43" s="387">
        <v>323</v>
      </c>
      <c r="B43" s="389">
        <f>0.5*(A43+A42)</f>
        <v>298</v>
      </c>
      <c r="C43" s="389">
        <v>494</v>
      </c>
      <c r="E43" s="392"/>
    </row>
    <row r="44" spans="1:23" x14ac:dyDescent="0.2">
      <c r="A44" s="387">
        <v>373</v>
      </c>
      <c r="B44" s="389">
        <f t="shared" ref="B44:B70" si="1">0.5*(A44+A43)</f>
        <v>348</v>
      </c>
      <c r="C44" s="389">
        <v>510.7</v>
      </c>
      <c r="E44" s="392"/>
    </row>
    <row r="45" spans="1:23" x14ac:dyDescent="0.2">
      <c r="A45" s="387">
        <v>423</v>
      </c>
      <c r="B45" s="389">
        <f t="shared" si="1"/>
        <v>398</v>
      </c>
      <c r="C45" s="389">
        <v>527.4</v>
      </c>
      <c r="E45" s="392"/>
    </row>
    <row r="46" spans="1:23" x14ac:dyDescent="0.2">
      <c r="A46" s="387">
        <v>473</v>
      </c>
      <c r="B46" s="389">
        <f t="shared" si="1"/>
        <v>448</v>
      </c>
      <c r="C46" s="389">
        <v>544.20000000000005</v>
      </c>
      <c r="E46" s="392"/>
    </row>
    <row r="47" spans="1:23" x14ac:dyDescent="0.2">
      <c r="A47" s="387">
        <v>523</v>
      </c>
      <c r="B47" s="389">
        <f t="shared" si="1"/>
        <v>498</v>
      </c>
      <c r="C47" s="389">
        <v>560.9</v>
      </c>
      <c r="E47" s="392"/>
    </row>
    <row r="48" spans="1:23" x14ac:dyDescent="0.2">
      <c r="A48" s="387">
        <v>573</v>
      </c>
      <c r="B48" s="389">
        <f t="shared" si="1"/>
        <v>548</v>
      </c>
      <c r="C48" s="389">
        <v>581.9</v>
      </c>
      <c r="E48" s="392"/>
    </row>
    <row r="49" spans="1:3" x14ac:dyDescent="0.2">
      <c r="A49" s="387">
        <v>623</v>
      </c>
      <c r="B49" s="389">
        <f t="shared" si="1"/>
        <v>598</v>
      </c>
      <c r="C49" s="389">
        <v>611.20000000000005</v>
      </c>
    </row>
    <row r="50" spans="1:3" x14ac:dyDescent="0.2">
      <c r="A50" s="387">
        <v>673</v>
      </c>
      <c r="B50" s="389">
        <f t="shared" si="1"/>
        <v>648</v>
      </c>
      <c r="C50" s="389">
        <v>644.70000000000005</v>
      </c>
    </row>
    <row r="51" spans="1:3" x14ac:dyDescent="0.2">
      <c r="A51" s="387">
        <v>723</v>
      </c>
      <c r="B51" s="389">
        <f t="shared" si="1"/>
        <v>698</v>
      </c>
      <c r="C51" s="389">
        <v>682.3</v>
      </c>
    </row>
    <row r="52" spans="1:3" x14ac:dyDescent="0.2">
      <c r="A52" s="387">
        <v>773</v>
      </c>
      <c r="B52" s="389">
        <f t="shared" si="1"/>
        <v>748</v>
      </c>
      <c r="C52" s="389">
        <v>728.4</v>
      </c>
    </row>
    <row r="53" spans="1:3" x14ac:dyDescent="0.2">
      <c r="A53" s="387">
        <v>823</v>
      </c>
      <c r="B53" s="389">
        <f t="shared" si="1"/>
        <v>798</v>
      </c>
      <c r="C53" s="389">
        <v>778.6</v>
      </c>
    </row>
    <row r="54" spans="1:3" x14ac:dyDescent="0.2">
      <c r="A54" s="387">
        <v>873</v>
      </c>
      <c r="B54" s="389">
        <f t="shared" si="1"/>
        <v>848</v>
      </c>
      <c r="C54" s="389">
        <v>833</v>
      </c>
    </row>
    <row r="55" spans="1:3" x14ac:dyDescent="0.2">
      <c r="A55" s="387">
        <v>923</v>
      </c>
      <c r="B55" s="389">
        <f t="shared" si="1"/>
        <v>898</v>
      </c>
      <c r="C55" s="389">
        <v>983.7</v>
      </c>
    </row>
    <row r="56" spans="1:3" x14ac:dyDescent="0.2">
      <c r="A56" s="387">
        <v>973</v>
      </c>
      <c r="B56" s="389">
        <f t="shared" si="1"/>
        <v>948</v>
      </c>
      <c r="C56" s="389">
        <v>987.9</v>
      </c>
    </row>
    <row r="57" spans="1:3" x14ac:dyDescent="0.2">
      <c r="A57" s="387">
        <v>1023</v>
      </c>
      <c r="B57" s="389">
        <f t="shared" si="1"/>
        <v>998</v>
      </c>
      <c r="C57" s="389">
        <v>837.2</v>
      </c>
    </row>
    <row r="58" spans="1:3" x14ac:dyDescent="0.2">
      <c r="A58" s="387">
        <v>1073</v>
      </c>
      <c r="B58" s="389">
        <f t="shared" si="1"/>
        <v>1048</v>
      </c>
      <c r="C58" s="389">
        <v>820.5</v>
      </c>
    </row>
    <row r="59" spans="1:3" x14ac:dyDescent="0.2">
      <c r="A59" s="387">
        <v>1123</v>
      </c>
      <c r="B59" s="389">
        <f t="shared" si="1"/>
        <v>1098</v>
      </c>
      <c r="C59" s="389">
        <v>749.3</v>
      </c>
    </row>
    <row r="60" spans="1:3" x14ac:dyDescent="0.2">
      <c r="A60" s="387">
        <v>1173</v>
      </c>
      <c r="B60" s="389">
        <f t="shared" si="1"/>
        <v>1148</v>
      </c>
      <c r="C60" s="389">
        <v>665.6</v>
      </c>
    </row>
    <row r="61" spans="1:3" x14ac:dyDescent="0.2">
      <c r="A61" s="387">
        <v>1223</v>
      </c>
      <c r="B61" s="389">
        <f t="shared" si="1"/>
        <v>1198</v>
      </c>
      <c r="C61" s="389">
        <v>669.8</v>
      </c>
    </row>
    <row r="62" spans="1:3" x14ac:dyDescent="0.2">
      <c r="A62" s="387">
        <v>1273</v>
      </c>
      <c r="B62" s="389">
        <f t="shared" si="1"/>
        <v>1248</v>
      </c>
      <c r="C62" s="389">
        <v>669.8</v>
      </c>
    </row>
    <row r="63" spans="1:3" x14ac:dyDescent="0.2">
      <c r="A63" s="387">
        <v>1323</v>
      </c>
      <c r="B63" s="389">
        <f t="shared" si="1"/>
        <v>1298</v>
      </c>
      <c r="C63" s="389">
        <v>669.8</v>
      </c>
    </row>
    <row r="64" spans="1:3" x14ac:dyDescent="0.2">
      <c r="A64" s="387">
        <v>1373</v>
      </c>
      <c r="B64" s="389">
        <f t="shared" si="1"/>
        <v>1348</v>
      </c>
      <c r="C64" s="389">
        <v>669.8</v>
      </c>
    </row>
    <row r="65" spans="1:3" x14ac:dyDescent="0.2">
      <c r="A65" s="387">
        <v>1423</v>
      </c>
      <c r="B65" s="389">
        <f t="shared" si="1"/>
        <v>1398</v>
      </c>
      <c r="C65" s="389">
        <v>669.8</v>
      </c>
    </row>
    <row r="66" spans="1:3" x14ac:dyDescent="0.2">
      <c r="A66" s="387">
        <v>1473</v>
      </c>
      <c r="B66" s="389">
        <f t="shared" si="1"/>
        <v>1448</v>
      </c>
      <c r="C66" s="389">
        <v>669.8</v>
      </c>
    </row>
    <row r="67" spans="1:3" x14ac:dyDescent="0.2">
      <c r="A67" s="387">
        <v>1523</v>
      </c>
      <c r="B67" s="389">
        <f t="shared" si="1"/>
        <v>1498</v>
      </c>
      <c r="C67" s="389">
        <v>669.8</v>
      </c>
    </row>
    <row r="68" spans="1:3" x14ac:dyDescent="0.2">
      <c r="A68" s="387">
        <v>1573</v>
      </c>
      <c r="B68" s="389">
        <f t="shared" si="1"/>
        <v>1548</v>
      </c>
      <c r="C68" s="389">
        <v>669.8</v>
      </c>
    </row>
    <row r="69" spans="1:3" x14ac:dyDescent="0.2">
      <c r="A69" s="387">
        <v>1623</v>
      </c>
      <c r="B69" s="389">
        <f t="shared" si="1"/>
        <v>1598</v>
      </c>
      <c r="C69" s="389">
        <v>669.8</v>
      </c>
    </row>
    <row r="70" spans="1:3" x14ac:dyDescent="0.2">
      <c r="A70" s="387">
        <v>3000</v>
      </c>
      <c r="B70" s="389">
        <f t="shared" si="1"/>
        <v>2311.5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606DD-C3E5-4ABA-9A8F-DCF4ED5588DF}">
  <sheetPr codeName="Feuil25"/>
  <dimension ref="A1:W38"/>
  <sheetViews>
    <sheetView workbookViewId="0">
      <selection activeCell="I38" sqref="I38:L39"/>
    </sheetView>
  </sheetViews>
  <sheetFormatPr baseColWidth="10" defaultColWidth="11.42578125" defaultRowHeight="12.75" x14ac:dyDescent="0.2"/>
  <cols>
    <col min="1" max="16384" width="11.42578125" style="389"/>
  </cols>
  <sheetData>
    <row r="1" spans="1:23" s="385" customFormat="1" x14ac:dyDescent="0.2">
      <c r="A1" s="390">
        <v>29</v>
      </c>
      <c r="B1" s="393" t="s">
        <v>635</v>
      </c>
    </row>
    <row r="2" spans="1:23" s="386" customFormat="1" x14ac:dyDescent="0.2">
      <c r="A2" s="386">
        <v>22</v>
      </c>
      <c r="B2" s="386" t="s">
        <v>78</v>
      </c>
      <c r="C2" s="386" t="s">
        <v>90</v>
      </c>
      <c r="D2" s="386" t="s">
        <v>91</v>
      </c>
      <c r="E2" s="386" t="s">
        <v>92</v>
      </c>
      <c r="F2" s="386" t="s">
        <v>93</v>
      </c>
      <c r="G2" s="386" t="s">
        <v>94</v>
      </c>
      <c r="H2" s="386" t="s">
        <v>95</v>
      </c>
      <c r="I2" s="386" t="s">
        <v>96</v>
      </c>
      <c r="J2" s="386" t="s">
        <v>97</v>
      </c>
      <c r="K2" s="386" t="s">
        <v>98</v>
      </c>
      <c r="L2" s="386" t="s">
        <v>99</v>
      </c>
      <c r="M2" s="386" t="s">
        <v>100</v>
      </c>
      <c r="N2" s="386" t="s">
        <v>101</v>
      </c>
      <c r="O2" s="386" t="s">
        <v>102</v>
      </c>
      <c r="P2" s="386" t="s">
        <v>103</v>
      </c>
      <c r="Q2" s="386" t="s">
        <v>104</v>
      </c>
      <c r="R2" s="386" t="s">
        <v>105</v>
      </c>
      <c r="S2" s="386" t="s">
        <v>106</v>
      </c>
      <c r="T2" s="386" t="s">
        <v>107</v>
      </c>
      <c r="U2" s="386" t="s">
        <v>108</v>
      </c>
      <c r="V2" s="386" t="s">
        <v>109</v>
      </c>
      <c r="W2" s="386" t="s">
        <v>110</v>
      </c>
    </row>
    <row r="3" spans="1:23" x14ac:dyDescent="0.2">
      <c r="A3" s="387">
        <v>273</v>
      </c>
      <c r="B3" s="389">
        <v>0</v>
      </c>
      <c r="C3" s="389">
        <v>0</v>
      </c>
      <c r="D3" s="389">
        <v>0</v>
      </c>
      <c r="E3" s="389">
        <v>0</v>
      </c>
      <c r="F3" s="389">
        <v>0</v>
      </c>
      <c r="G3" s="389">
        <v>0</v>
      </c>
      <c r="H3" s="389">
        <v>0</v>
      </c>
      <c r="I3" s="389">
        <v>0</v>
      </c>
      <c r="J3" s="389">
        <v>0</v>
      </c>
      <c r="K3" s="389">
        <v>0</v>
      </c>
      <c r="L3" s="389">
        <v>0</v>
      </c>
      <c r="M3" s="389">
        <v>0</v>
      </c>
      <c r="N3" s="389">
        <v>0</v>
      </c>
      <c r="O3" s="389">
        <v>0</v>
      </c>
      <c r="P3" s="389">
        <v>0</v>
      </c>
      <c r="Q3" s="389">
        <v>0</v>
      </c>
      <c r="R3" s="389">
        <v>0</v>
      </c>
      <c r="S3" s="389">
        <v>0</v>
      </c>
      <c r="T3" s="389">
        <v>0</v>
      </c>
      <c r="U3" s="389">
        <v>0</v>
      </c>
      <c r="V3" s="389">
        <v>0</v>
      </c>
      <c r="W3" s="389">
        <v>0</v>
      </c>
    </row>
    <row r="4" spans="1:23" x14ac:dyDescent="0.2">
      <c r="A4" s="387">
        <v>323</v>
      </c>
      <c r="B4" s="389">
        <v>24280</v>
      </c>
      <c r="C4" s="389">
        <v>24280</v>
      </c>
      <c r="D4" s="389">
        <v>24280</v>
      </c>
      <c r="E4" s="389">
        <v>24280</v>
      </c>
      <c r="F4" s="389">
        <v>23860</v>
      </c>
      <c r="G4" s="389">
        <v>24280</v>
      </c>
      <c r="H4" s="389">
        <v>25120</v>
      </c>
      <c r="I4" s="389">
        <v>24280</v>
      </c>
      <c r="J4" s="389">
        <v>23860</v>
      </c>
      <c r="K4" s="389">
        <v>24280</v>
      </c>
      <c r="L4" s="389">
        <v>24700</v>
      </c>
      <c r="M4" s="389">
        <v>24280</v>
      </c>
      <c r="N4" s="389">
        <v>24280</v>
      </c>
      <c r="O4" s="389">
        <v>24700</v>
      </c>
      <c r="P4" s="389">
        <v>23860</v>
      </c>
      <c r="Q4" s="389">
        <v>25120</v>
      </c>
      <c r="R4" s="389">
        <v>25950</v>
      </c>
      <c r="S4" s="389">
        <v>25120</v>
      </c>
      <c r="T4" s="389">
        <v>25530</v>
      </c>
      <c r="U4" s="389">
        <v>23440</v>
      </c>
      <c r="V4" s="389">
        <v>23440</v>
      </c>
      <c r="W4" s="389">
        <v>20510</v>
      </c>
    </row>
    <row r="5" spans="1:23" x14ac:dyDescent="0.2">
      <c r="A5" s="387">
        <v>373</v>
      </c>
      <c r="B5" s="389">
        <v>48560</v>
      </c>
      <c r="C5" s="389">
        <v>48560</v>
      </c>
      <c r="D5" s="389">
        <v>48560</v>
      </c>
      <c r="E5" s="389">
        <v>48560</v>
      </c>
      <c r="F5" s="389">
        <v>47720</v>
      </c>
      <c r="G5" s="389">
        <v>48560</v>
      </c>
      <c r="H5" s="389">
        <v>50230</v>
      </c>
      <c r="I5" s="389">
        <v>48560</v>
      </c>
      <c r="J5" s="389">
        <v>47720</v>
      </c>
      <c r="K5" s="389">
        <v>48560</v>
      </c>
      <c r="L5" s="389">
        <v>49400</v>
      </c>
      <c r="M5" s="389">
        <v>48560</v>
      </c>
      <c r="N5" s="389">
        <v>48560</v>
      </c>
      <c r="O5" s="389">
        <v>49400</v>
      </c>
      <c r="P5" s="389">
        <v>47720</v>
      </c>
      <c r="Q5" s="389">
        <v>50230</v>
      </c>
      <c r="R5" s="389">
        <v>51910</v>
      </c>
      <c r="S5" s="389">
        <v>50230</v>
      </c>
      <c r="T5" s="389">
        <v>51070</v>
      </c>
      <c r="U5" s="389">
        <v>46880</v>
      </c>
      <c r="V5" s="389">
        <v>46880</v>
      </c>
      <c r="W5" s="389">
        <v>41020</v>
      </c>
    </row>
    <row r="6" spans="1:23" x14ac:dyDescent="0.2">
      <c r="A6" s="387">
        <v>423</v>
      </c>
      <c r="B6" s="389">
        <v>73670</v>
      </c>
      <c r="C6" s="389">
        <v>73670</v>
      </c>
      <c r="D6" s="389">
        <v>73670</v>
      </c>
      <c r="E6" s="389">
        <v>73670</v>
      </c>
      <c r="F6" s="389">
        <v>73260</v>
      </c>
      <c r="G6" s="389">
        <v>74510</v>
      </c>
      <c r="H6" s="389">
        <v>76190</v>
      </c>
      <c r="I6" s="389">
        <v>74510</v>
      </c>
      <c r="J6" s="389">
        <v>72420</v>
      </c>
      <c r="K6" s="389">
        <v>73670</v>
      </c>
      <c r="L6" s="389">
        <v>74930</v>
      </c>
      <c r="M6" s="389">
        <v>74510</v>
      </c>
      <c r="N6" s="389">
        <v>73670</v>
      </c>
      <c r="O6" s="389">
        <v>74930</v>
      </c>
      <c r="P6" s="389">
        <v>72420</v>
      </c>
      <c r="Q6" s="389">
        <v>75350</v>
      </c>
      <c r="R6" s="389">
        <v>78700</v>
      </c>
      <c r="S6" s="389">
        <v>75770</v>
      </c>
      <c r="T6" s="389">
        <v>77440</v>
      </c>
      <c r="U6" s="389">
        <v>72000</v>
      </c>
      <c r="V6" s="389">
        <v>71580</v>
      </c>
      <c r="W6" s="389">
        <v>62370</v>
      </c>
    </row>
    <row r="7" spans="1:23" x14ac:dyDescent="0.2">
      <c r="A7" s="387">
        <v>473</v>
      </c>
      <c r="B7" s="389">
        <v>99630</v>
      </c>
      <c r="C7" s="389">
        <v>99630</v>
      </c>
      <c r="D7" s="389">
        <v>99630</v>
      </c>
      <c r="E7" s="389">
        <v>99210</v>
      </c>
      <c r="F7" s="389">
        <v>99210</v>
      </c>
      <c r="G7" s="389">
        <v>101300</v>
      </c>
      <c r="H7" s="389">
        <v>103400</v>
      </c>
      <c r="I7" s="389">
        <v>101700</v>
      </c>
      <c r="J7" s="389">
        <v>97950</v>
      </c>
      <c r="K7" s="389">
        <v>99630</v>
      </c>
      <c r="L7" s="389">
        <v>100900</v>
      </c>
      <c r="M7" s="389">
        <v>100500</v>
      </c>
      <c r="N7" s="389">
        <v>100000</v>
      </c>
      <c r="O7" s="389">
        <v>100900</v>
      </c>
      <c r="P7" s="389">
        <v>98370</v>
      </c>
      <c r="Q7" s="389">
        <v>101700</v>
      </c>
      <c r="R7" s="389">
        <v>107200</v>
      </c>
      <c r="S7" s="389">
        <v>101700</v>
      </c>
      <c r="T7" s="389">
        <v>104200</v>
      </c>
      <c r="U7" s="389">
        <v>97950</v>
      </c>
      <c r="V7" s="389">
        <v>97120</v>
      </c>
      <c r="W7" s="389">
        <v>84140</v>
      </c>
    </row>
    <row r="8" spans="1:23" x14ac:dyDescent="0.2">
      <c r="A8" s="387">
        <v>523</v>
      </c>
      <c r="B8" s="389">
        <v>126400</v>
      </c>
      <c r="C8" s="389">
        <v>126800</v>
      </c>
      <c r="D8" s="389">
        <v>126400</v>
      </c>
      <c r="E8" s="389">
        <v>125600</v>
      </c>
      <c r="F8" s="389">
        <v>126000</v>
      </c>
      <c r="G8" s="389">
        <v>128500</v>
      </c>
      <c r="H8" s="389">
        <v>130600</v>
      </c>
      <c r="I8" s="389">
        <v>128900</v>
      </c>
      <c r="J8" s="389">
        <v>124300</v>
      </c>
      <c r="K8" s="389">
        <v>126400</v>
      </c>
      <c r="L8" s="389">
        <v>127700</v>
      </c>
      <c r="M8" s="389">
        <v>127300</v>
      </c>
      <c r="N8" s="389">
        <v>127300</v>
      </c>
      <c r="O8" s="389">
        <v>127700</v>
      </c>
      <c r="P8" s="389">
        <v>124700</v>
      </c>
      <c r="Q8" s="389">
        <v>128900</v>
      </c>
      <c r="R8" s="389">
        <v>136000</v>
      </c>
      <c r="S8" s="389">
        <v>128500</v>
      </c>
      <c r="T8" s="389">
        <v>131000</v>
      </c>
      <c r="U8" s="389">
        <v>124300</v>
      </c>
      <c r="V8" s="389">
        <v>123900</v>
      </c>
      <c r="W8" s="389">
        <v>106700</v>
      </c>
    </row>
    <row r="9" spans="1:23" x14ac:dyDescent="0.2">
      <c r="A9" s="387">
        <v>573</v>
      </c>
      <c r="B9" s="389">
        <v>154000</v>
      </c>
      <c r="C9" s="389">
        <v>154500</v>
      </c>
      <c r="D9" s="389">
        <v>154000</v>
      </c>
      <c r="E9" s="389">
        <v>153200</v>
      </c>
      <c r="F9" s="389">
        <v>153600</v>
      </c>
      <c r="G9" s="389">
        <v>157000</v>
      </c>
      <c r="H9" s="389">
        <v>159100</v>
      </c>
      <c r="I9" s="389">
        <v>157000</v>
      </c>
      <c r="J9" s="389">
        <v>151500</v>
      </c>
      <c r="K9" s="389">
        <v>154000</v>
      </c>
      <c r="L9" s="389">
        <v>156100</v>
      </c>
      <c r="M9" s="389">
        <v>154900</v>
      </c>
      <c r="N9" s="389">
        <v>154900</v>
      </c>
      <c r="O9" s="389">
        <v>155300</v>
      </c>
      <c r="P9" s="389">
        <v>152000</v>
      </c>
      <c r="Q9" s="389">
        <v>156600</v>
      </c>
      <c r="R9" s="389">
        <v>165800</v>
      </c>
      <c r="S9" s="389">
        <v>155700</v>
      </c>
      <c r="T9" s="389">
        <v>158700</v>
      </c>
      <c r="U9" s="389">
        <v>152000</v>
      </c>
      <c r="V9" s="389">
        <v>151100</v>
      </c>
      <c r="W9" s="389">
        <v>130200</v>
      </c>
    </row>
    <row r="10" spans="1:23" x14ac:dyDescent="0.2">
      <c r="A10" s="387">
        <v>623</v>
      </c>
      <c r="B10" s="389">
        <v>182500</v>
      </c>
      <c r="C10" s="389">
        <v>182900</v>
      </c>
      <c r="D10" s="389">
        <v>182900</v>
      </c>
      <c r="E10" s="389">
        <v>181700</v>
      </c>
      <c r="F10" s="389">
        <v>182500</v>
      </c>
      <c r="G10" s="389">
        <v>186300</v>
      </c>
      <c r="H10" s="389">
        <v>188000</v>
      </c>
      <c r="I10" s="389">
        <v>185900</v>
      </c>
      <c r="J10" s="389">
        <v>179600</v>
      </c>
      <c r="K10" s="389">
        <v>182500</v>
      </c>
      <c r="L10" s="389">
        <v>185000</v>
      </c>
      <c r="M10" s="389">
        <v>183300</v>
      </c>
      <c r="N10" s="389">
        <v>184200</v>
      </c>
      <c r="O10" s="389">
        <v>184200</v>
      </c>
      <c r="P10" s="389">
        <v>180400</v>
      </c>
      <c r="Q10" s="389">
        <v>185400</v>
      </c>
      <c r="R10" s="389">
        <v>196300</v>
      </c>
      <c r="S10" s="389">
        <v>183300</v>
      </c>
      <c r="T10" s="389">
        <v>186300</v>
      </c>
      <c r="U10" s="389">
        <v>180800</v>
      </c>
      <c r="V10" s="389">
        <v>179600</v>
      </c>
      <c r="W10" s="389">
        <v>154500</v>
      </c>
    </row>
    <row r="11" spans="1:23" x14ac:dyDescent="0.2">
      <c r="A11" s="387">
        <v>673</v>
      </c>
      <c r="B11" s="389">
        <v>212200</v>
      </c>
      <c r="C11" s="389">
        <v>212700</v>
      </c>
      <c r="D11" s="389">
        <v>212700</v>
      </c>
      <c r="E11" s="389">
        <v>211000</v>
      </c>
      <c r="F11" s="389">
        <v>212200</v>
      </c>
      <c r="G11" s="389">
        <v>216400</v>
      </c>
      <c r="H11" s="389">
        <v>218500</v>
      </c>
      <c r="I11" s="389">
        <v>215600</v>
      </c>
      <c r="J11" s="389">
        <v>209300</v>
      </c>
      <c r="K11" s="389">
        <v>211800</v>
      </c>
      <c r="L11" s="389">
        <v>214700</v>
      </c>
      <c r="M11" s="389">
        <v>213100</v>
      </c>
      <c r="N11" s="389">
        <v>214300</v>
      </c>
      <c r="O11" s="389">
        <v>213900</v>
      </c>
      <c r="P11" s="389">
        <v>210100</v>
      </c>
      <c r="Q11" s="389">
        <v>215600</v>
      </c>
      <c r="R11" s="389">
        <v>226500</v>
      </c>
      <c r="S11" s="389">
        <v>210100</v>
      </c>
      <c r="T11" s="389">
        <v>214700</v>
      </c>
      <c r="U11" s="389">
        <v>211000</v>
      </c>
      <c r="V11" s="389">
        <v>209300</v>
      </c>
      <c r="W11" s="389">
        <v>179600</v>
      </c>
    </row>
    <row r="12" spans="1:23" x14ac:dyDescent="0.2">
      <c r="A12" s="387">
        <v>723</v>
      </c>
      <c r="B12" s="389">
        <v>243600</v>
      </c>
      <c r="C12" s="389">
        <v>244000</v>
      </c>
      <c r="D12" s="389">
        <v>244000</v>
      </c>
      <c r="E12" s="389">
        <v>241500</v>
      </c>
      <c r="F12" s="389">
        <v>242800</v>
      </c>
      <c r="G12" s="389">
        <v>247800</v>
      </c>
      <c r="H12" s="389">
        <v>249900</v>
      </c>
      <c r="I12" s="389">
        <v>246600</v>
      </c>
      <c r="J12" s="389">
        <v>239900</v>
      </c>
      <c r="K12" s="389">
        <v>242800</v>
      </c>
      <c r="L12" s="389">
        <v>246600</v>
      </c>
      <c r="M12" s="389">
        <v>244500</v>
      </c>
      <c r="N12" s="389">
        <v>246100</v>
      </c>
      <c r="O12" s="389">
        <v>244900</v>
      </c>
      <c r="P12" s="389">
        <v>240700</v>
      </c>
      <c r="Q12" s="389">
        <v>247000</v>
      </c>
      <c r="R12" s="389">
        <v>257400</v>
      </c>
      <c r="S12" s="389">
        <v>237300</v>
      </c>
      <c r="T12" s="389">
        <v>244000</v>
      </c>
      <c r="U12" s="389">
        <v>242800</v>
      </c>
      <c r="V12" s="389">
        <v>241100</v>
      </c>
      <c r="W12" s="389">
        <v>205500</v>
      </c>
    </row>
    <row r="13" spans="1:23" x14ac:dyDescent="0.2">
      <c r="A13" s="387">
        <v>773</v>
      </c>
      <c r="B13" s="389">
        <v>276700</v>
      </c>
      <c r="C13" s="389">
        <v>277100</v>
      </c>
      <c r="D13" s="389">
        <v>277100</v>
      </c>
      <c r="E13" s="389">
        <v>274200</v>
      </c>
      <c r="F13" s="389">
        <v>275000</v>
      </c>
      <c r="G13" s="389">
        <v>281300</v>
      </c>
      <c r="H13" s="389">
        <v>283400</v>
      </c>
      <c r="I13" s="389">
        <v>278400</v>
      </c>
      <c r="J13" s="389">
        <v>272500</v>
      </c>
      <c r="K13" s="389">
        <v>275900</v>
      </c>
      <c r="L13" s="389">
        <v>280000</v>
      </c>
      <c r="M13" s="389">
        <v>277500</v>
      </c>
      <c r="N13" s="389">
        <v>279600</v>
      </c>
      <c r="O13" s="389">
        <v>278000</v>
      </c>
      <c r="P13" s="389">
        <v>273300</v>
      </c>
      <c r="Q13" s="389">
        <v>280500</v>
      </c>
      <c r="R13" s="389">
        <v>288000</v>
      </c>
      <c r="S13" s="389">
        <v>265800</v>
      </c>
      <c r="T13" s="389">
        <v>273800</v>
      </c>
      <c r="U13" s="389">
        <v>277100</v>
      </c>
      <c r="V13" s="389">
        <v>275000</v>
      </c>
      <c r="W13" s="389">
        <v>233200</v>
      </c>
    </row>
    <row r="14" spans="1:23" x14ac:dyDescent="0.2">
      <c r="A14" s="387">
        <v>823</v>
      </c>
      <c r="B14" s="389">
        <v>311900</v>
      </c>
      <c r="C14" s="389">
        <v>311900</v>
      </c>
      <c r="D14" s="389">
        <v>312300</v>
      </c>
      <c r="E14" s="389">
        <v>308500</v>
      </c>
      <c r="F14" s="389">
        <v>308500</v>
      </c>
      <c r="G14" s="389">
        <v>316000</v>
      </c>
      <c r="H14" s="389">
        <v>318600</v>
      </c>
      <c r="I14" s="389">
        <v>311400</v>
      </c>
      <c r="J14" s="389">
        <v>307300</v>
      </c>
      <c r="K14" s="389">
        <v>311000</v>
      </c>
      <c r="L14" s="389">
        <v>316000</v>
      </c>
      <c r="M14" s="389">
        <v>313100</v>
      </c>
      <c r="N14" s="389">
        <v>315600</v>
      </c>
      <c r="O14" s="389">
        <v>312700</v>
      </c>
      <c r="P14" s="389">
        <v>308100</v>
      </c>
      <c r="Q14" s="389">
        <v>315600</v>
      </c>
      <c r="R14" s="389">
        <v>322700</v>
      </c>
      <c r="S14" s="389">
        <v>294700</v>
      </c>
      <c r="T14" s="389">
        <v>305200</v>
      </c>
      <c r="U14" s="389">
        <v>313100</v>
      </c>
      <c r="V14" s="389">
        <v>311400</v>
      </c>
      <c r="W14" s="389">
        <v>262500</v>
      </c>
    </row>
    <row r="15" spans="1:23" x14ac:dyDescent="0.2">
      <c r="A15" s="387">
        <v>873</v>
      </c>
      <c r="B15" s="389">
        <v>349500</v>
      </c>
      <c r="C15" s="389">
        <v>349100</v>
      </c>
      <c r="D15" s="389">
        <v>349500</v>
      </c>
      <c r="E15" s="389">
        <v>344100</v>
      </c>
      <c r="F15" s="389">
        <v>344500</v>
      </c>
      <c r="G15" s="389">
        <v>351600</v>
      </c>
      <c r="H15" s="389">
        <v>356200</v>
      </c>
      <c r="I15" s="389">
        <v>346200</v>
      </c>
      <c r="J15" s="389">
        <v>344500</v>
      </c>
      <c r="K15" s="389">
        <v>348300</v>
      </c>
      <c r="L15" s="389">
        <v>355000</v>
      </c>
      <c r="M15" s="389">
        <v>351200</v>
      </c>
      <c r="N15" s="389">
        <v>354100</v>
      </c>
      <c r="O15" s="389">
        <v>349500</v>
      </c>
      <c r="P15" s="389">
        <v>344900</v>
      </c>
      <c r="Q15" s="389">
        <v>353300</v>
      </c>
      <c r="R15" s="389">
        <v>357900</v>
      </c>
      <c r="S15" s="389">
        <v>324000</v>
      </c>
      <c r="T15" s="389">
        <v>337800</v>
      </c>
      <c r="U15" s="389">
        <v>352500</v>
      </c>
      <c r="V15" s="389">
        <v>350000</v>
      </c>
      <c r="W15" s="389">
        <v>292200</v>
      </c>
    </row>
    <row r="16" spans="1:23" x14ac:dyDescent="0.2">
      <c r="A16" s="387">
        <v>923</v>
      </c>
      <c r="B16" s="389">
        <v>389700</v>
      </c>
      <c r="C16" s="389">
        <v>388500</v>
      </c>
      <c r="D16" s="389">
        <v>388900</v>
      </c>
      <c r="E16" s="389">
        <v>380500</v>
      </c>
      <c r="F16" s="389">
        <v>382600</v>
      </c>
      <c r="G16" s="389">
        <v>388000</v>
      </c>
      <c r="H16" s="389">
        <v>395200</v>
      </c>
      <c r="I16" s="389">
        <v>383400</v>
      </c>
      <c r="J16" s="389">
        <v>383000</v>
      </c>
      <c r="K16" s="389">
        <v>388000</v>
      </c>
      <c r="L16" s="389">
        <v>395600</v>
      </c>
      <c r="M16" s="389">
        <v>391400</v>
      </c>
      <c r="N16" s="389">
        <v>395200</v>
      </c>
      <c r="O16" s="389">
        <v>388500</v>
      </c>
      <c r="P16" s="389">
        <v>383400</v>
      </c>
      <c r="Q16" s="389">
        <v>392200</v>
      </c>
      <c r="R16" s="389">
        <v>390100</v>
      </c>
      <c r="S16" s="389">
        <v>353700</v>
      </c>
      <c r="T16" s="389">
        <v>369200</v>
      </c>
      <c r="U16" s="389">
        <v>393100</v>
      </c>
      <c r="V16" s="389">
        <v>392200</v>
      </c>
      <c r="W16" s="389">
        <v>322700</v>
      </c>
    </row>
    <row r="17" spans="1:23" x14ac:dyDescent="0.2">
      <c r="A17" s="387">
        <v>973</v>
      </c>
      <c r="B17" s="389">
        <v>432800</v>
      </c>
      <c r="C17" s="389">
        <v>431200</v>
      </c>
      <c r="D17" s="389">
        <v>431200</v>
      </c>
      <c r="E17" s="389">
        <v>419000</v>
      </c>
      <c r="F17" s="389">
        <v>425300</v>
      </c>
      <c r="G17" s="389">
        <v>426600</v>
      </c>
      <c r="H17" s="389">
        <v>437000</v>
      </c>
      <c r="I17" s="389">
        <v>424500</v>
      </c>
      <c r="J17" s="389">
        <v>425200</v>
      </c>
      <c r="K17" s="389">
        <v>469700</v>
      </c>
      <c r="L17" s="389">
        <v>460900</v>
      </c>
      <c r="M17" s="389">
        <v>448700</v>
      </c>
      <c r="N17" s="389">
        <v>447900</v>
      </c>
      <c r="O17" s="389">
        <v>430300</v>
      </c>
      <c r="P17" s="389">
        <v>424900</v>
      </c>
      <c r="Q17" s="389">
        <v>433700</v>
      </c>
      <c r="R17" s="389">
        <v>422400</v>
      </c>
      <c r="S17" s="389">
        <v>383000</v>
      </c>
      <c r="T17" s="389">
        <v>400600</v>
      </c>
      <c r="U17" s="389">
        <v>437000</v>
      </c>
      <c r="V17" s="389">
        <v>438700</v>
      </c>
      <c r="W17" s="389">
        <v>354600</v>
      </c>
    </row>
    <row r="18" spans="1:23" x14ac:dyDescent="0.2">
      <c r="A18" s="387">
        <v>1023</v>
      </c>
      <c r="B18" s="389">
        <v>488100</v>
      </c>
      <c r="C18" s="389">
        <v>488100</v>
      </c>
      <c r="D18" s="389">
        <v>502700</v>
      </c>
      <c r="E18" s="389">
        <v>498100</v>
      </c>
      <c r="F18" s="389">
        <v>517000</v>
      </c>
      <c r="G18" s="389">
        <v>530400</v>
      </c>
      <c r="H18" s="389">
        <v>546300</v>
      </c>
      <c r="I18" s="389">
        <v>528700</v>
      </c>
      <c r="J18" s="389">
        <v>497700</v>
      </c>
      <c r="K18" s="389">
        <v>517400</v>
      </c>
      <c r="L18" s="389">
        <v>519500</v>
      </c>
      <c r="M18" s="389">
        <v>517800</v>
      </c>
      <c r="N18" s="389">
        <v>530800</v>
      </c>
      <c r="O18" s="389">
        <v>505300</v>
      </c>
      <c r="P18" s="389">
        <v>505300</v>
      </c>
      <c r="Q18" s="389">
        <v>478900</v>
      </c>
      <c r="R18" s="389">
        <v>454600</v>
      </c>
      <c r="S18" s="389">
        <v>412300</v>
      </c>
      <c r="T18" s="389">
        <v>431600</v>
      </c>
      <c r="U18" s="389">
        <v>482200</v>
      </c>
      <c r="V18" s="389">
        <v>488100</v>
      </c>
      <c r="W18" s="389">
        <v>390600</v>
      </c>
    </row>
    <row r="19" spans="1:23" x14ac:dyDescent="0.2">
      <c r="A19" s="387">
        <v>1073</v>
      </c>
      <c r="B19" s="389">
        <v>531600</v>
      </c>
      <c r="C19" s="389">
        <v>536200</v>
      </c>
      <c r="D19" s="389">
        <v>550500</v>
      </c>
      <c r="E19" s="389">
        <v>529100</v>
      </c>
      <c r="F19" s="389">
        <v>560100</v>
      </c>
      <c r="G19" s="389">
        <v>560900</v>
      </c>
      <c r="H19" s="389">
        <v>577700</v>
      </c>
      <c r="I19" s="389">
        <v>561300</v>
      </c>
      <c r="J19" s="389">
        <v>538700</v>
      </c>
      <c r="K19" s="389">
        <v>547500</v>
      </c>
      <c r="L19" s="389">
        <v>547500</v>
      </c>
      <c r="M19" s="389">
        <v>546300</v>
      </c>
      <c r="N19" s="389">
        <v>562600</v>
      </c>
      <c r="O19" s="389">
        <v>552100</v>
      </c>
      <c r="P19" s="389">
        <v>549600</v>
      </c>
      <c r="Q19" s="389">
        <v>547100</v>
      </c>
      <c r="R19" s="389">
        <v>487300</v>
      </c>
      <c r="S19" s="389">
        <v>441600</v>
      </c>
      <c r="T19" s="389">
        <v>463800</v>
      </c>
      <c r="U19" s="389">
        <v>516600</v>
      </c>
      <c r="V19" s="389">
        <v>527400</v>
      </c>
      <c r="W19" s="389">
        <v>426600</v>
      </c>
    </row>
    <row r="20" spans="1:23" x14ac:dyDescent="0.2">
      <c r="A20" s="387">
        <v>1123</v>
      </c>
      <c r="B20" s="389">
        <v>571800</v>
      </c>
      <c r="C20" s="389">
        <v>579300</v>
      </c>
      <c r="D20" s="389">
        <v>587300</v>
      </c>
      <c r="E20" s="389">
        <v>554700</v>
      </c>
      <c r="F20" s="389">
        <v>590700</v>
      </c>
      <c r="G20" s="389">
        <v>594000</v>
      </c>
      <c r="H20" s="389">
        <v>608700</v>
      </c>
      <c r="I20" s="389">
        <v>594000</v>
      </c>
      <c r="J20" s="389">
        <v>566400</v>
      </c>
      <c r="K20" s="389">
        <v>578900</v>
      </c>
      <c r="L20" s="389">
        <v>576000</v>
      </c>
      <c r="M20" s="389">
        <v>574700</v>
      </c>
      <c r="N20" s="389">
        <v>594400</v>
      </c>
      <c r="O20" s="389">
        <v>580200</v>
      </c>
      <c r="P20" s="389">
        <v>578100</v>
      </c>
      <c r="Q20" s="389">
        <v>577700</v>
      </c>
      <c r="R20" s="389">
        <v>519900</v>
      </c>
      <c r="S20" s="389">
        <v>470900</v>
      </c>
      <c r="T20" s="389">
        <v>496000</v>
      </c>
      <c r="U20" s="389">
        <v>556700</v>
      </c>
      <c r="V20" s="389">
        <v>575200</v>
      </c>
      <c r="W20" s="389">
        <v>460500</v>
      </c>
    </row>
    <row r="21" spans="1:23" x14ac:dyDescent="0.2">
      <c r="A21" s="387">
        <v>1173</v>
      </c>
      <c r="B21" s="389">
        <v>613700</v>
      </c>
      <c r="C21" s="389">
        <v>620000</v>
      </c>
      <c r="D21" s="389">
        <v>619500</v>
      </c>
      <c r="E21" s="389">
        <v>581900</v>
      </c>
      <c r="F21" s="389">
        <v>620000</v>
      </c>
      <c r="G21" s="389">
        <v>625000</v>
      </c>
      <c r="H21" s="389">
        <v>639600</v>
      </c>
      <c r="I21" s="389">
        <v>625000</v>
      </c>
      <c r="J21" s="389">
        <v>593200</v>
      </c>
      <c r="K21" s="389">
        <v>611200</v>
      </c>
      <c r="L21" s="389">
        <v>604900</v>
      </c>
      <c r="M21" s="389">
        <v>603600</v>
      </c>
      <c r="N21" s="389">
        <v>626200</v>
      </c>
      <c r="O21" s="389">
        <v>609100</v>
      </c>
      <c r="P21" s="389">
        <v>607400</v>
      </c>
      <c r="Q21" s="389">
        <v>609100</v>
      </c>
      <c r="R21" s="389">
        <v>553400</v>
      </c>
      <c r="S21" s="389">
        <v>500700</v>
      </c>
      <c r="T21" s="389">
        <v>528300</v>
      </c>
      <c r="U21" s="389">
        <v>590200</v>
      </c>
      <c r="V21" s="389">
        <v>608200</v>
      </c>
      <c r="W21" s="389">
        <v>497300</v>
      </c>
    </row>
    <row r="22" spans="1:23" x14ac:dyDescent="0.2">
      <c r="A22" s="387">
        <v>1223</v>
      </c>
      <c r="B22" s="389">
        <v>646700</v>
      </c>
      <c r="C22" s="389">
        <v>652600</v>
      </c>
      <c r="D22" s="389">
        <v>652200</v>
      </c>
      <c r="E22" s="389">
        <v>613300</v>
      </c>
      <c r="F22" s="389">
        <v>651300</v>
      </c>
      <c r="G22" s="389">
        <v>656000</v>
      </c>
      <c r="H22" s="389">
        <v>670600</v>
      </c>
      <c r="I22" s="389">
        <v>656400</v>
      </c>
      <c r="J22" s="389">
        <v>622500</v>
      </c>
      <c r="K22" s="389">
        <v>643400</v>
      </c>
      <c r="L22" s="389">
        <v>636700</v>
      </c>
      <c r="M22" s="389">
        <v>634600</v>
      </c>
      <c r="N22" s="389">
        <v>658500</v>
      </c>
      <c r="O22" s="389">
        <v>639600</v>
      </c>
      <c r="P22" s="389">
        <v>637100</v>
      </c>
      <c r="Q22" s="389">
        <v>640500</v>
      </c>
      <c r="R22" s="389">
        <v>586500</v>
      </c>
      <c r="S22" s="389">
        <v>530400</v>
      </c>
      <c r="T22" s="389">
        <v>560500</v>
      </c>
      <c r="U22" s="389">
        <v>622900</v>
      </c>
      <c r="V22" s="389">
        <v>640500</v>
      </c>
      <c r="W22" s="389">
        <v>526200</v>
      </c>
    </row>
    <row r="23" spans="1:23" x14ac:dyDescent="0.2">
      <c r="A23" s="387">
        <v>1273</v>
      </c>
      <c r="B23" s="389">
        <v>680200</v>
      </c>
      <c r="C23" s="389">
        <v>685300</v>
      </c>
      <c r="D23" s="389">
        <v>684400</v>
      </c>
      <c r="E23" s="389">
        <v>644200</v>
      </c>
      <c r="F23" s="389">
        <v>682700</v>
      </c>
      <c r="G23" s="389">
        <v>687800</v>
      </c>
      <c r="H23" s="389">
        <v>701200</v>
      </c>
      <c r="I23" s="389">
        <v>687300</v>
      </c>
      <c r="J23" s="389">
        <v>652600</v>
      </c>
      <c r="K23" s="389">
        <v>675600</v>
      </c>
      <c r="L23" s="389">
        <v>668500</v>
      </c>
      <c r="M23" s="389">
        <v>666400</v>
      </c>
      <c r="N23" s="389">
        <v>689900</v>
      </c>
      <c r="O23" s="389">
        <v>671000</v>
      </c>
      <c r="P23" s="389">
        <v>667300</v>
      </c>
      <c r="Q23" s="389">
        <v>672300</v>
      </c>
      <c r="R23" s="389">
        <v>620400</v>
      </c>
      <c r="S23" s="389">
        <v>560100</v>
      </c>
      <c r="T23" s="389">
        <v>593200</v>
      </c>
      <c r="U23" s="389">
        <v>655100</v>
      </c>
      <c r="V23" s="389">
        <v>673100</v>
      </c>
      <c r="W23" s="389">
        <v>555900</v>
      </c>
    </row>
    <row r="24" spans="1:23" x14ac:dyDescent="0.2">
      <c r="A24" s="387">
        <v>1323</v>
      </c>
      <c r="B24" s="389">
        <v>713700</v>
      </c>
      <c r="C24" s="389">
        <v>718300</v>
      </c>
      <c r="D24" s="389">
        <v>717100</v>
      </c>
      <c r="E24" s="389">
        <v>676000</v>
      </c>
      <c r="F24" s="389">
        <v>714100</v>
      </c>
      <c r="G24" s="389">
        <v>719600</v>
      </c>
      <c r="H24" s="389">
        <v>732600</v>
      </c>
      <c r="I24" s="389">
        <v>719600</v>
      </c>
      <c r="J24" s="389">
        <v>682700</v>
      </c>
      <c r="K24" s="389">
        <v>707900</v>
      </c>
      <c r="L24" s="389">
        <v>700300</v>
      </c>
      <c r="M24" s="389">
        <v>699100</v>
      </c>
      <c r="N24" s="389">
        <v>721700</v>
      </c>
      <c r="O24" s="389">
        <v>702400</v>
      </c>
      <c r="P24" s="389">
        <v>697800</v>
      </c>
      <c r="Q24" s="389">
        <v>704500</v>
      </c>
      <c r="R24" s="389">
        <v>654300</v>
      </c>
      <c r="S24" s="389">
        <v>590200</v>
      </c>
      <c r="T24" s="389">
        <v>625800</v>
      </c>
      <c r="U24" s="389">
        <v>687800</v>
      </c>
      <c r="V24" s="389">
        <v>704900</v>
      </c>
      <c r="W24" s="389">
        <v>586500</v>
      </c>
    </row>
    <row r="25" spans="1:23" x14ac:dyDescent="0.2">
      <c r="A25" s="387">
        <v>1373</v>
      </c>
      <c r="B25" s="389">
        <v>747200</v>
      </c>
      <c r="C25" s="389">
        <v>751400</v>
      </c>
      <c r="D25" s="389">
        <v>749300</v>
      </c>
      <c r="E25" s="389">
        <v>707400</v>
      </c>
      <c r="F25" s="389">
        <v>745500</v>
      </c>
      <c r="G25" s="389">
        <v>752200</v>
      </c>
      <c r="H25" s="389">
        <v>764400</v>
      </c>
      <c r="I25" s="389">
        <v>751400</v>
      </c>
      <c r="J25" s="389">
        <v>713700</v>
      </c>
      <c r="K25" s="389">
        <v>740100</v>
      </c>
      <c r="L25" s="389">
        <v>732100</v>
      </c>
      <c r="M25" s="389">
        <v>731300</v>
      </c>
      <c r="N25" s="389">
        <v>753500</v>
      </c>
      <c r="O25" s="389">
        <v>733800</v>
      </c>
      <c r="P25" s="389">
        <v>728400</v>
      </c>
      <c r="Q25" s="389">
        <v>737200</v>
      </c>
      <c r="R25" s="389">
        <v>688600</v>
      </c>
      <c r="S25" s="389">
        <v>620400</v>
      </c>
      <c r="T25" s="389">
        <v>658900</v>
      </c>
      <c r="U25" s="389">
        <v>720400</v>
      </c>
      <c r="V25" s="389">
        <v>737600</v>
      </c>
      <c r="W25" s="389">
        <v>617400</v>
      </c>
    </row>
    <row r="26" spans="1:23" x14ac:dyDescent="0.2">
      <c r="A26" s="387">
        <v>1423</v>
      </c>
      <c r="B26" s="389">
        <v>780700</v>
      </c>
      <c r="C26" s="389">
        <v>784500</v>
      </c>
      <c r="D26" s="389">
        <v>782400</v>
      </c>
      <c r="E26" s="389">
        <v>739700</v>
      </c>
      <c r="F26" s="389">
        <v>777800</v>
      </c>
      <c r="G26" s="389">
        <v>785300</v>
      </c>
      <c r="H26" s="389">
        <v>797000</v>
      </c>
      <c r="I26" s="389">
        <v>784000</v>
      </c>
      <c r="J26" s="389">
        <v>744700</v>
      </c>
      <c r="K26" s="389">
        <v>771900</v>
      </c>
      <c r="L26" s="389">
        <v>764800</v>
      </c>
      <c r="M26" s="389">
        <v>764400</v>
      </c>
      <c r="N26" s="389">
        <v>785300</v>
      </c>
      <c r="O26" s="389">
        <v>764400</v>
      </c>
      <c r="P26" s="389">
        <v>759800</v>
      </c>
      <c r="Q26" s="389">
        <v>770200</v>
      </c>
      <c r="R26" s="389">
        <v>723300</v>
      </c>
      <c r="S26" s="389">
        <v>650900</v>
      </c>
      <c r="T26" s="389">
        <v>692400</v>
      </c>
      <c r="U26" s="389">
        <v>753100</v>
      </c>
      <c r="V26" s="389">
        <v>769800</v>
      </c>
      <c r="W26" s="389">
        <v>647600</v>
      </c>
    </row>
    <row r="27" spans="1:23" x14ac:dyDescent="0.2">
      <c r="A27" s="387">
        <v>1473</v>
      </c>
      <c r="B27" s="389">
        <v>814200</v>
      </c>
      <c r="C27" s="389">
        <v>817500</v>
      </c>
      <c r="D27" s="389">
        <v>815400</v>
      </c>
      <c r="E27" s="389">
        <v>772300</v>
      </c>
      <c r="F27" s="389">
        <v>810400</v>
      </c>
      <c r="G27" s="389">
        <v>818800</v>
      </c>
      <c r="H27" s="389">
        <v>830500</v>
      </c>
      <c r="I27" s="389">
        <v>816700</v>
      </c>
      <c r="J27" s="389">
        <v>776500</v>
      </c>
      <c r="K27" s="389">
        <v>804600</v>
      </c>
      <c r="L27" s="389">
        <v>797400</v>
      </c>
      <c r="M27" s="389">
        <v>797000</v>
      </c>
      <c r="N27" s="389">
        <v>817500</v>
      </c>
      <c r="O27" s="389">
        <v>795800</v>
      </c>
      <c r="P27" s="389">
        <v>791600</v>
      </c>
      <c r="Q27" s="389">
        <v>803700</v>
      </c>
      <c r="R27" s="389">
        <v>758100</v>
      </c>
      <c r="S27" s="389">
        <v>681900</v>
      </c>
      <c r="T27" s="389">
        <v>725900</v>
      </c>
      <c r="U27" s="389">
        <v>785300</v>
      </c>
      <c r="V27" s="389">
        <v>802900</v>
      </c>
      <c r="W27" s="389">
        <v>678600</v>
      </c>
    </row>
    <row r="28" spans="1:23" x14ac:dyDescent="0.2">
      <c r="A28" s="387">
        <v>1523</v>
      </c>
      <c r="B28" s="389">
        <v>847700</v>
      </c>
      <c r="C28" s="389">
        <v>850600</v>
      </c>
      <c r="D28" s="389">
        <v>849300</v>
      </c>
      <c r="E28" s="389">
        <v>805800</v>
      </c>
      <c r="F28" s="389">
        <v>843900</v>
      </c>
      <c r="G28" s="389">
        <v>852700</v>
      </c>
      <c r="H28" s="389">
        <v>864400</v>
      </c>
      <c r="I28" s="389">
        <v>850200</v>
      </c>
      <c r="J28" s="389">
        <v>808300</v>
      </c>
      <c r="K28" s="389">
        <v>837200</v>
      </c>
      <c r="L28" s="389">
        <v>830100</v>
      </c>
      <c r="M28" s="389">
        <v>830500</v>
      </c>
      <c r="N28" s="389">
        <v>849800</v>
      </c>
      <c r="O28" s="389">
        <v>827200</v>
      </c>
      <c r="P28" s="389">
        <v>823400</v>
      </c>
      <c r="Q28" s="389">
        <v>837600</v>
      </c>
      <c r="R28" s="389">
        <v>793300</v>
      </c>
      <c r="S28" s="389">
        <v>714100</v>
      </c>
      <c r="T28" s="389">
        <v>759800</v>
      </c>
      <c r="U28" s="389">
        <v>818000</v>
      </c>
      <c r="V28" s="389">
        <v>836000</v>
      </c>
      <c r="W28" s="389">
        <v>708700</v>
      </c>
    </row>
    <row r="29" spans="1:23" x14ac:dyDescent="0.2">
      <c r="A29" s="387">
        <v>1573</v>
      </c>
      <c r="B29" s="389">
        <v>881200</v>
      </c>
      <c r="C29" s="389">
        <v>884100</v>
      </c>
      <c r="D29" s="389">
        <v>883700</v>
      </c>
      <c r="E29" s="389">
        <v>840100</v>
      </c>
      <c r="F29" s="389">
        <v>877800</v>
      </c>
      <c r="G29" s="389">
        <v>886600</v>
      </c>
      <c r="H29" s="389">
        <v>899200</v>
      </c>
      <c r="I29" s="389">
        <v>883700</v>
      </c>
      <c r="J29" s="389">
        <v>840600</v>
      </c>
      <c r="K29" s="389">
        <v>870300</v>
      </c>
      <c r="L29" s="389">
        <v>862700</v>
      </c>
      <c r="M29" s="389">
        <v>863600</v>
      </c>
      <c r="N29" s="389">
        <v>882400</v>
      </c>
      <c r="O29" s="389">
        <v>859400</v>
      </c>
      <c r="P29" s="389">
        <v>855600</v>
      </c>
      <c r="Q29" s="389">
        <v>872000</v>
      </c>
      <c r="R29" s="389">
        <v>828400</v>
      </c>
      <c r="S29" s="389">
        <v>747200</v>
      </c>
      <c r="T29" s="389">
        <v>793700</v>
      </c>
      <c r="U29" s="389">
        <v>850600</v>
      </c>
      <c r="V29" s="389">
        <v>869900</v>
      </c>
      <c r="W29" s="389">
        <v>739300</v>
      </c>
    </row>
    <row r="30" spans="1:23" x14ac:dyDescent="0.2">
      <c r="A30" s="387">
        <v>1623</v>
      </c>
      <c r="B30" s="389">
        <v>914700</v>
      </c>
      <c r="C30" s="389">
        <v>917600</v>
      </c>
      <c r="D30" s="389">
        <v>918000</v>
      </c>
      <c r="E30" s="389">
        <v>874500</v>
      </c>
      <c r="F30" s="389">
        <v>911700</v>
      </c>
      <c r="G30" s="389">
        <v>920500</v>
      </c>
      <c r="H30" s="389">
        <v>933900</v>
      </c>
      <c r="I30" s="389">
        <v>917200</v>
      </c>
      <c r="J30" s="389">
        <v>872800</v>
      </c>
      <c r="K30" s="389">
        <v>903300</v>
      </c>
      <c r="L30" s="389">
        <v>895400</v>
      </c>
      <c r="M30" s="389">
        <v>896700</v>
      </c>
      <c r="N30" s="389">
        <v>915100</v>
      </c>
      <c r="O30" s="389">
        <v>891600</v>
      </c>
      <c r="P30" s="389">
        <v>887900</v>
      </c>
      <c r="Q30" s="389">
        <v>906300</v>
      </c>
      <c r="R30" s="389">
        <v>863600</v>
      </c>
      <c r="S30" s="389">
        <v>780300</v>
      </c>
      <c r="T30" s="389">
        <v>827600</v>
      </c>
      <c r="U30" s="389">
        <v>883300</v>
      </c>
      <c r="V30" s="389">
        <v>903800</v>
      </c>
      <c r="W30" s="389">
        <v>769800</v>
      </c>
    </row>
    <row r="31" spans="1:23" x14ac:dyDescent="0.2">
      <c r="A31" s="387">
        <v>3000</v>
      </c>
      <c r="B31" s="387">
        <v>1837014.6</v>
      </c>
      <c r="C31" s="387">
        <v>1839914.6</v>
      </c>
      <c r="D31" s="387">
        <v>1863310.5</v>
      </c>
      <c r="E31" s="387">
        <v>1819810.5</v>
      </c>
      <c r="F31" s="387">
        <v>1845443.7</v>
      </c>
      <c r="G31" s="387">
        <v>1854243.7</v>
      </c>
      <c r="H31" s="387">
        <v>1890777.3</v>
      </c>
      <c r="I31" s="387">
        <v>1839514.6</v>
      </c>
      <c r="J31" s="387">
        <v>1760551.9</v>
      </c>
      <c r="K31" s="387">
        <v>1814047.8</v>
      </c>
      <c r="L31" s="387">
        <v>1794581</v>
      </c>
      <c r="M31" s="387">
        <v>1807447.8</v>
      </c>
      <c r="N31" s="387">
        <v>1814281</v>
      </c>
      <c r="O31" s="387">
        <v>1779351.9</v>
      </c>
      <c r="P31" s="387">
        <v>1775651.9</v>
      </c>
      <c r="Q31" s="387">
        <v>1851610.5</v>
      </c>
      <c r="R31" s="387">
        <v>1832044.1</v>
      </c>
      <c r="S31" s="387">
        <v>1691047.8</v>
      </c>
      <c r="T31" s="387">
        <v>1761343.7</v>
      </c>
      <c r="U31" s="387">
        <v>1782481</v>
      </c>
      <c r="V31" s="387">
        <v>1837543.7</v>
      </c>
      <c r="W31" s="387">
        <v>1611422.4</v>
      </c>
    </row>
    <row r="37" spans="2:2" x14ac:dyDescent="0.2">
      <c r="B37" s="394">
        <f>824588/1210</f>
        <v>681.47768595041327</v>
      </c>
    </row>
    <row r="38" spans="2:2" x14ac:dyDescent="0.2">
      <c r="B38" s="391">
        <f>B37*1230*250000/3600</f>
        <v>58209552.341597795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C4BD-5D1C-42E2-8134-E366E1FC96B7}">
  <sheetPr codeName="Feuil26"/>
  <dimension ref="A1:W36"/>
  <sheetViews>
    <sheetView workbookViewId="0">
      <selection activeCell="I38" sqref="I38:L39"/>
    </sheetView>
  </sheetViews>
  <sheetFormatPr baseColWidth="10" defaultColWidth="11.42578125" defaultRowHeight="12.75" x14ac:dyDescent="0.2"/>
  <cols>
    <col min="1" max="16384" width="11.42578125" style="399"/>
  </cols>
  <sheetData>
    <row r="1" spans="1:23" s="397" customFormat="1" x14ac:dyDescent="0.2">
      <c r="A1" s="395">
        <v>29</v>
      </c>
      <c r="B1" s="396" t="s">
        <v>636</v>
      </c>
    </row>
    <row r="2" spans="1:23" s="398" customFormat="1" x14ac:dyDescent="0.2">
      <c r="A2" s="398">
        <v>22</v>
      </c>
      <c r="B2" s="398" t="s">
        <v>78</v>
      </c>
      <c r="C2" s="398" t="s">
        <v>90</v>
      </c>
      <c r="D2" s="398" t="s">
        <v>91</v>
      </c>
      <c r="E2" s="398" t="s">
        <v>92</v>
      </c>
      <c r="F2" s="398" t="s">
        <v>93</v>
      </c>
      <c r="G2" s="398" t="s">
        <v>94</v>
      </c>
      <c r="H2" s="398" t="s">
        <v>95</v>
      </c>
      <c r="I2" s="398" t="s">
        <v>96</v>
      </c>
      <c r="J2" s="398" t="s">
        <v>97</v>
      </c>
      <c r="K2" s="398" t="s">
        <v>98</v>
      </c>
      <c r="L2" s="398" t="s">
        <v>99</v>
      </c>
      <c r="M2" s="398" t="s">
        <v>100</v>
      </c>
      <c r="N2" s="398" t="s">
        <v>101</v>
      </c>
      <c r="O2" s="398" t="s">
        <v>102</v>
      </c>
      <c r="P2" s="398" t="s">
        <v>103</v>
      </c>
      <c r="Q2" s="398" t="s">
        <v>104</v>
      </c>
      <c r="R2" s="398" t="s">
        <v>105</v>
      </c>
      <c r="S2" s="398" t="s">
        <v>106</v>
      </c>
      <c r="T2" s="398" t="s">
        <v>107</v>
      </c>
      <c r="U2" s="398" t="s">
        <v>108</v>
      </c>
      <c r="V2" s="398" t="s">
        <v>109</v>
      </c>
      <c r="W2" s="398" t="s">
        <v>110</v>
      </c>
    </row>
    <row r="3" spans="1:23" x14ac:dyDescent="0.2">
      <c r="A3" s="399">
        <v>253</v>
      </c>
      <c r="B3" s="399">
        <v>0.4</v>
      </c>
      <c r="C3" s="399">
        <v>0.8</v>
      </c>
      <c r="D3" s="399">
        <v>0.8</v>
      </c>
      <c r="E3" s="399">
        <v>0.8</v>
      </c>
      <c r="F3" s="399">
        <v>0.8</v>
      </c>
      <c r="G3" s="399">
        <v>0.8</v>
      </c>
      <c r="H3" s="399">
        <v>0.8</v>
      </c>
      <c r="I3" s="399">
        <v>0.8</v>
      </c>
      <c r="J3" s="399">
        <v>0.8</v>
      </c>
      <c r="K3" s="399">
        <v>0.8</v>
      </c>
      <c r="L3" s="399">
        <v>0.8</v>
      </c>
      <c r="M3" s="399">
        <v>0.8</v>
      </c>
      <c r="N3" s="399">
        <v>0.8</v>
      </c>
      <c r="O3" s="399">
        <v>0.8</v>
      </c>
      <c r="P3" s="399">
        <v>0.8</v>
      </c>
      <c r="Q3" s="399">
        <v>0.8</v>
      </c>
      <c r="R3" s="399">
        <v>0.8</v>
      </c>
      <c r="S3" s="399">
        <v>0.8</v>
      </c>
      <c r="T3" s="399">
        <v>0.8</v>
      </c>
      <c r="U3" s="399">
        <v>0.8</v>
      </c>
      <c r="V3" s="399">
        <v>0.8</v>
      </c>
      <c r="W3" s="399">
        <v>0.8</v>
      </c>
    </row>
    <row r="4" spans="1:23" x14ac:dyDescent="0.2">
      <c r="A4" s="399">
        <v>323</v>
      </c>
      <c r="B4" s="399">
        <v>0.4</v>
      </c>
      <c r="C4" s="399">
        <v>0.8</v>
      </c>
      <c r="D4" s="399">
        <v>0.8</v>
      </c>
      <c r="E4" s="399">
        <v>0.8</v>
      </c>
      <c r="F4" s="399">
        <v>0.8</v>
      </c>
      <c r="G4" s="399">
        <v>0.8</v>
      </c>
      <c r="H4" s="399">
        <v>0.8</v>
      </c>
      <c r="I4" s="399">
        <v>0.8</v>
      </c>
      <c r="J4" s="399">
        <v>0.8</v>
      </c>
      <c r="K4" s="399">
        <v>0.8</v>
      </c>
      <c r="L4" s="399">
        <v>0.8</v>
      </c>
      <c r="M4" s="399">
        <v>0.8</v>
      </c>
      <c r="N4" s="399">
        <v>0.8</v>
      </c>
      <c r="O4" s="399">
        <v>0.8</v>
      </c>
      <c r="P4" s="399">
        <v>0.8</v>
      </c>
      <c r="Q4" s="399">
        <v>0.8</v>
      </c>
      <c r="R4" s="399">
        <v>0.8</v>
      </c>
      <c r="S4" s="399">
        <v>0.8</v>
      </c>
      <c r="T4" s="399">
        <v>0.8</v>
      </c>
      <c r="U4" s="399">
        <v>0.8</v>
      </c>
      <c r="V4" s="399">
        <v>0.8</v>
      </c>
      <c r="W4" s="399">
        <v>0.8</v>
      </c>
    </row>
    <row r="5" spans="1:23" x14ac:dyDescent="0.2">
      <c r="A5" s="399">
        <v>373</v>
      </c>
      <c r="B5" s="399">
        <v>0.4</v>
      </c>
      <c r="C5" s="399">
        <v>0.8</v>
      </c>
      <c r="D5" s="399">
        <v>0.8</v>
      </c>
      <c r="E5" s="399">
        <v>0.8</v>
      </c>
      <c r="F5" s="399">
        <v>0.8</v>
      </c>
      <c r="G5" s="399">
        <v>0.8</v>
      </c>
      <c r="H5" s="399">
        <v>0.8</v>
      </c>
      <c r="I5" s="399">
        <v>0.8</v>
      </c>
      <c r="J5" s="399">
        <v>0.8</v>
      </c>
      <c r="K5" s="399">
        <v>0.8</v>
      </c>
      <c r="L5" s="399">
        <v>0.8</v>
      </c>
      <c r="M5" s="399">
        <v>0.8</v>
      </c>
      <c r="N5" s="399">
        <v>0.8</v>
      </c>
      <c r="O5" s="399">
        <v>0.8</v>
      </c>
      <c r="P5" s="399">
        <v>0.8</v>
      </c>
      <c r="Q5" s="399">
        <v>0.8</v>
      </c>
      <c r="R5" s="399">
        <v>0.8</v>
      </c>
      <c r="S5" s="399">
        <v>0.8</v>
      </c>
      <c r="T5" s="399">
        <v>0.8</v>
      </c>
      <c r="U5" s="399">
        <v>0.8</v>
      </c>
      <c r="V5" s="399">
        <v>0.8</v>
      </c>
      <c r="W5" s="399">
        <v>0.8</v>
      </c>
    </row>
    <row r="6" spans="1:23" x14ac:dyDescent="0.2">
      <c r="A6" s="399">
        <v>423</v>
      </c>
      <c r="B6" s="399">
        <v>0.4</v>
      </c>
      <c r="C6" s="399">
        <v>0.8</v>
      </c>
      <c r="D6" s="399">
        <v>0.8</v>
      </c>
      <c r="E6" s="399">
        <v>0.8</v>
      </c>
      <c r="F6" s="399">
        <v>0.8</v>
      </c>
      <c r="G6" s="399">
        <v>0.8</v>
      </c>
      <c r="H6" s="399">
        <v>0.8</v>
      </c>
      <c r="I6" s="399">
        <v>0.8</v>
      </c>
      <c r="J6" s="399">
        <v>0.8</v>
      </c>
      <c r="K6" s="399">
        <v>0.8</v>
      </c>
      <c r="L6" s="399">
        <v>0.8</v>
      </c>
      <c r="M6" s="399">
        <v>0.8</v>
      </c>
      <c r="N6" s="399">
        <v>0.8</v>
      </c>
      <c r="O6" s="399">
        <v>0.8</v>
      </c>
      <c r="P6" s="399">
        <v>0.8</v>
      </c>
      <c r="Q6" s="399">
        <v>0.8</v>
      </c>
      <c r="R6" s="399">
        <v>0.8</v>
      </c>
      <c r="S6" s="399">
        <v>0.8</v>
      </c>
      <c r="T6" s="399">
        <v>0.8</v>
      </c>
      <c r="U6" s="399">
        <v>0.8</v>
      </c>
      <c r="V6" s="399">
        <v>0.8</v>
      </c>
      <c r="W6" s="399">
        <v>0.8</v>
      </c>
    </row>
    <row r="7" spans="1:23" x14ac:dyDescent="0.2">
      <c r="A7" s="399">
        <v>473</v>
      </c>
      <c r="B7" s="399">
        <v>0.4</v>
      </c>
      <c r="C7" s="399">
        <v>0.8</v>
      </c>
      <c r="D7" s="399">
        <v>0.8</v>
      </c>
      <c r="E7" s="399">
        <v>0.8</v>
      </c>
      <c r="F7" s="399">
        <v>0.8</v>
      </c>
      <c r="G7" s="399">
        <v>0.8</v>
      </c>
      <c r="H7" s="399">
        <v>0.8</v>
      </c>
      <c r="I7" s="399">
        <v>0.8</v>
      </c>
      <c r="J7" s="399">
        <v>0.8</v>
      </c>
      <c r="K7" s="399">
        <v>0.8</v>
      </c>
      <c r="L7" s="399">
        <v>0.8</v>
      </c>
      <c r="M7" s="399">
        <v>0.8</v>
      </c>
      <c r="N7" s="399">
        <v>0.8</v>
      </c>
      <c r="O7" s="399">
        <v>0.8</v>
      </c>
      <c r="P7" s="399">
        <v>0.8</v>
      </c>
      <c r="Q7" s="399">
        <v>0.8</v>
      </c>
      <c r="R7" s="399">
        <v>0.8</v>
      </c>
      <c r="S7" s="399">
        <v>0.8</v>
      </c>
      <c r="T7" s="399">
        <v>0.8</v>
      </c>
      <c r="U7" s="399">
        <v>0.8</v>
      </c>
      <c r="V7" s="399">
        <v>0.8</v>
      </c>
      <c r="W7" s="399">
        <v>0.8</v>
      </c>
    </row>
    <row r="8" spans="1:23" x14ac:dyDescent="0.2">
      <c r="A8" s="399">
        <v>523</v>
      </c>
      <c r="B8" s="399">
        <v>0.4</v>
      </c>
      <c r="C8" s="399">
        <v>0.8</v>
      </c>
      <c r="D8" s="399">
        <v>0.8</v>
      </c>
      <c r="E8" s="399">
        <v>0.8</v>
      </c>
      <c r="F8" s="399">
        <v>0.8</v>
      </c>
      <c r="G8" s="399">
        <v>0.8</v>
      </c>
      <c r="H8" s="399">
        <v>0.8</v>
      </c>
      <c r="I8" s="399">
        <v>0.8</v>
      </c>
      <c r="J8" s="399">
        <v>0.8</v>
      </c>
      <c r="K8" s="399">
        <v>0.8</v>
      </c>
      <c r="L8" s="399">
        <v>0.8</v>
      </c>
      <c r="M8" s="399">
        <v>0.8</v>
      </c>
      <c r="N8" s="399">
        <v>0.8</v>
      </c>
      <c r="O8" s="399">
        <v>0.8</v>
      </c>
      <c r="P8" s="399">
        <v>0.8</v>
      </c>
      <c r="Q8" s="399">
        <v>0.8</v>
      </c>
      <c r="R8" s="399">
        <v>0.8</v>
      </c>
      <c r="S8" s="399">
        <v>0.8</v>
      </c>
      <c r="T8" s="399">
        <v>0.8</v>
      </c>
      <c r="U8" s="399">
        <v>0.8</v>
      </c>
      <c r="V8" s="399">
        <v>0.8</v>
      </c>
      <c r="W8" s="399">
        <v>0.8</v>
      </c>
    </row>
    <row r="9" spans="1:23" x14ac:dyDescent="0.2">
      <c r="A9" s="399">
        <v>573</v>
      </c>
      <c r="B9" s="399">
        <v>0.4</v>
      </c>
      <c r="C9" s="399">
        <v>0.8</v>
      </c>
      <c r="D9" s="399">
        <v>0.8</v>
      </c>
      <c r="E9" s="399">
        <v>0.8</v>
      </c>
      <c r="F9" s="399">
        <v>0.8</v>
      </c>
      <c r="G9" s="399">
        <v>0.8</v>
      </c>
      <c r="H9" s="399">
        <v>0.8</v>
      </c>
      <c r="I9" s="399">
        <v>0.8</v>
      </c>
      <c r="J9" s="399">
        <v>0.8</v>
      </c>
      <c r="K9" s="399">
        <v>0.8</v>
      </c>
      <c r="L9" s="399">
        <v>0.8</v>
      </c>
      <c r="M9" s="399">
        <v>0.8</v>
      </c>
      <c r="N9" s="399">
        <v>0.8</v>
      </c>
      <c r="O9" s="399">
        <v>0.8</v>
      </c>
      <c r="P9" s="399">
        <v>0.8</v>
      </c>
      <c r="Q9" s="399">
        <v>0.8</v>
      </c>
      <c r="R9" s="399">
        <v>0.8</v>
      </c>
      <c r="S9" s="399">
        <v>0.8</v>
      </c>
      <c r="T9" s="399">
        <v>0.8</v>
      </c>
      <c r="U9" s="399">
        <v>0.8</v>
      </c>
      <c r="V9" s="399">
        <v>0.8</v>
      </c>
      <c r="W9" s="399">
        <v>0.8</v>
      </c>
    </row>
    <row r="10" spans="1:23" x14ac:dyDescent="0.2">
      <c r="A10" s="399">
        <v>623</v>
      </c>
      <c r="B10" s="399">
        <v>0.4</v>
      </c>
      <c r="C10" s="399">
        <v>0.8</v>
      </c>
      <c r="D10" s="399">
        <v>0.8</v>
      </c>
      <c r="E10" s="399">
        <v>0.8</v>
      </c>
      <c r="F10" s="399">
        <v>0.8</v>
      </c>
      <c r="G10" s="399">
        <v>0.8</v>
      </c>
      <c r="H10" s="399">
        <v>0.8</v>
      </c>
      <c r="I10" s="399">
        <v>0.8</v>
      </c>
      <c r="J10" s="399">
        <v>0.8</v>
      </c>
      <c r="K10" s="399">
        <v>0.8</v>
      </c>
      <c r="L10" s="399">
        <v>0.8</v>
      </c>
      <c r="M10" s="399">
        <v>0.8</v>
      </c>
      <c r="N10" s="399">
        <v>0.8</v>
      </c>
      <c r="O10" s="399">
        <v>0.8</v>
      </c>
      <c r="P10" s="399">
        <v>0.8</v>
      </c>
      <c r="Q10" s="399">
        <v>0.8</v>
      </c>
      <c r="R10" s="399">
        <v>0.8</v>
      </c>
      <c r="S10" s="399">
        <v>0.8</v>
      </c>
      <c r="T10" s="399">
        <v>0.8</v>
      </c>
      <c r="U10" s="399">
        <v>0.8</v>
      </c>
      <c r="V10" s="399">
        <v>0.8</v>
      </c>
      <c r="W10" s="399">
        <v>0.8</v>
      </c>
    </row>
    <row r="11" spans="1:23" x14ac:dyDescent="0.2">
      <c r="A11" s="399">
        <v>673</v>
      </c>
      <c r="B11" s="399">
        <v>0.4</v>
      </c>
      <c r="C11" s="399">
        <v>0.8</v>
      </c>
      <c r="D11" s="399">
        <v>0.8</v>
      </c>
      <c r="E11" s="399">
        <v>0.8</v>
      </c>
      <c r="F11" s="399">
        <v>0.8</v>
      </c>
      <c r="G11" s="399">
        <v>0.8</v>
      </c>
      <c r="H11" s="399">
        <v>0.8</v>
      </c>
      <c r="I11" s="399">
        <v>0.8</v>
      </c>
      <c r="J11" s="399">
        <v>0.8</v>
      </c>
      <c r="K11" s="399">
        <v>0.8</v>
      </c>
      <c r="L11" s="399">
        <v>0.8</v>
      </c>
      <c r="M11" s="399">
        <v>0.8</v>
      </c>
      <c r="N11" s="399">
        <v>0.8</v>
      </c>
      <c r="O11" s="399">
        <v>0.8</v>
      </c>
      <c r="P11" s="399">
        <v>0.8</v>
      </c>
      <c r="Q11" s="399">
        <v>0.8</v>
      </c>
      <c r="R11" s="399">
        <v>0.8</v>
      </c>
      <c r="S11" s="399">
        <v>0.8</v>
      </c>
      <c r="T11" s="399">
        <v>0.8</v>
      </c>
      <c r="U11" s="399">
        <v>0.8</v>
      </c>
      <c r="V11" s="399">
        <v>0.8</v>
      </c>
      <c r="W11" s="399">
        <v>0.8</v>
      </c>
    </row>
    <row r="12" spans="1:23" x14ac:dyDescent="0.2">
      <c r="A12" s="399">
        <v>723</v>
      </c>
      <c r="B12" s="399">
        <v>0.4</v>
      </c>
      <c r="C12" s="399">
        <v>0.8</v>
      </c>
      <c r="D12" s="399">
        <v>0.8</v>
      </c>
      <c r="E12" s="399">
        <v>0.8</v>
      </c>
      <c r="F12" s="399">
        <v>0.8</v>
      </c>
      <c r="G12" s="399">
        <v>0.8</v>
      </c>
      <c r="H12" s="399">
        <v>0.8</v>
      </c>
      <c r="I12" s="399">
        <v>0.8</v>
      </c>
      <c r="J12" s="399">
        <v>0.8</v>
      </c>
      <c r="K12" s="399">
        <v>0.8</v>
      </c>
      <c r="L12" s="399">
        <v>0.8</v>
      </c>
      <c r="M12" s="399">
        <v>0.8</v>
      </c>
      <c r="N12" s="399">
        <v>0.8</v>
      </c>
      <c r="O12" s="399">
        <v>0.8</v>
      </c>
      <c r="P12" s="399">
        <v>0.8</v>
      </c>
      <c r="Q12" s="399">
        <v>0.8</v>
      </c>
      <c r="R12" s="399">
        <v>0.8</v>
      </c>
      <c r="S12" s="399">
        <v>0.8</v>
      </c>
      <c r="T12" s="399">
        <v>0.8</v>
      </c>
      <c r="U12" s="399">
        <v>0.8</v>
      </c>
      <c r="V12" s="399">
        <v>0.8</v>
      </c>
      <c r="W12" s="399">
        <v>0.8</v>
      </c>
    </row>
    <row r="13" spans="1:23" x14ac:dyDescent="0.2">
      <c r="A13" s="400">
        <v>773</v>
      </c>
      <c r="B13" s="399">
        <v>0.4</v>
      </c>
      <c r="C13" s="399">
        <v>0.8</v>
      </c>
      <c r="D13" s="399">
        <v>0.8</v>
      </c>
      <c r="E13" s="399">
        <v>0.8</v>
      </c>
      <c r="F13" s="399">
        <v>0.8</v>
      </c>
      <c r="G13" s="399">
        <v>0.8</v>
      </c>
      <c r="H13" s="399">
        <v>0.8</v>
      </c>
      <c r="I13" s="399">
        <v>0.8</v>
      </c>
      <c r="J13" s="399">
        <v>0.8</v>
      </c>
      <c r="K13" s="399">
        <v>0.8</v>
      </c>
      <c r="L13" s="399">
        <v>0.8</v>
      </c>
      <c r="M13" s="399">
        <v>0.8</v>
      </c>
      <c r="N13" s="399">
        <v>0.8</v>
      </c>
      <c r="O13" s="399">
        <v>0.8</v>
      </c>
      <c r="P13" s="399">
        <v>0.8</v>
      </c>
      <c r="Q13" s="399">
        <v>0.8</v>
      </c>
      <c r="R13" s="399">
        <v>0.8</v>
      </c>
      <c r="S13" s="399">
        <v>0.8</v>
      </c>
      <c r="T13" s="399">
        <v>0.8</v>
      </c>
      <c r="U13" s="399">
        <v>0.8</v>
      </c>
      <c r="V13" s="399">
        <v>0.8</v>
      </c>
      <c r="W13" s="399">
        <v>0.8</v>
      </c>
    </row>
    <row r="14" spans="1:23" x14ac:dyDescent="0.2">
      <c r="A14" s="399">
        <v>823</v>
      </c>
      <c r="B14" s="399">
        <v>0.4</v>
      </c>
      <c r="C14" s="399">
        <v>0.8</v>
      </c>
      <c r="D14" s="399">
        <v>0.8</v>
      </c>
      <c r="E14" s="399">
        <v>0.8</v>
      </c>
      <c r="F14" s="399">
        <v>0.8</v>
      </c>
      <c r="G14" s="399">
        <v>0.8</v>
      </c>
      <c r="H14" s="399">
        <v>0.8</v>
      </c>
      <c r="I14" s="399">
        <v>0.8</v>
      </c>
      <c r="J14" s="399">
        <v>0.8</v>
      </c>
      <c r="K14" s="399">
        <v>0.8</v>
      </c>
      <c r="L14" s="399">
        <v>0.8</v>
      </c>
      <c r="M14" s="399">
        <v>0.8</v>
      </c>
      <c r="N14" s="399">
        <v>0.8</v>
      </c>
      <c r="O14" s="399">
        <v>0.8</v>
      </c>
      <c r="P14" s="399">
        <v>0.8</v>
      </c>
      <c r="Q14" s="399">
        <v>0.8</v>
      </c>
      <c r="R14" s="399">
        <v>0.8</v>
      </c>
      <c r="S14" s="399">
        <v>0.8</v>
      </c>
      <c r="T14" s="399">
        <v>0.8</v>
      </c>
      <c r="U14" s="399">
        <v>0.8</v>
      </c>
      <c r="V14" s="399">
        <v>0.8</v>
      </c>
      <c r="W14" s="399">
        <v>0.8</v>
      </c>
    </row>
    <row r="15" spans="1:23" x14ac:dyDescent="0.2">
      <c r="A15" s="399">
        <v>873</v>
      </c>
      <c r="B15" s="399">
        <v>0.4</v>
      </c>
      <c r="C15" s="399">
        <v>0.8</v>
      </c>
      <c r="D15" s="399">
        <v>0.8</v>
      </c>
      <c r="E15" s="399">
        <v>0.8</v>
      </c>
      <c r="F15" s="399">
        <v>0.8</v>
      </c>
      <c r="G15" s="399">
        <v>0.8</v>
      </c>
      <c r="H15" s="399">
        <v>0.8</v>
      </c>
      <c r="I15" s="399">
        <v>0.8</v>
      </c>
      <c r="J15" s="399">
        <v>0.8</v>
      </c>
      <c r="K15" s="399">
        <v>0.8</v>
      </c>
      <c r="L15" s="399">
        <v>0.8</v>
      </c>
      <c r="M15" s="399">
        <v>0.8</v>
      </c>
      <c r="N15" s="399">
        <v>0.8</v>
      </c>
      <c r="O15" s="399">
        <v>0.8</v>
      </c>
      <c r="P15" s="399">
        <v>0.8</v>
      </c>
      <c r="Q15" s="399">
        <v>0.8</v>
      </c>
      <c r="R15" s="399">
        <v>0.8</v>
      </c>
      <c r="S15" s="399">
        <v>0.8</v>
      </c>
      <c r="T15" s="399">
        <v>0.8</v>
      </c>
      <c r="U15" s="399">
        <v>0.8</v>
      </c>
      <c r="V15" s="399">
        <v>0.8</v>
      </c>
      <c r="W15" s="399">
        <v>0.8</v>
      </c>
    </row>
    <row r="16" spans="1:23" x14ac:dyDescent="0.2">
      <c r="A16" s="399">
        <v>923</v>
      </c>
      <c r="B16" s="399">
        <v>0.4</v>
      </c>
      <c r="C16" s="399">
        <v>0.8</v>
      </c>
      <c r="D16" s="399">
        <v>0.8</v>
      </c>
      <c r="E16" s="399">
        <v>0.8</v>
      </c>
      <c r="F16" s="399">
        <v>0.8</v>
      </c>
      <c r="G16" s="399">
        <v>0.8</v>
      </c>
      <c r="H16" s="399">
        <v>0.8</v>
      </c>
      <c r="I16" s="399">
        <v>0.8</v>
      </c>
      <c r="J16" s="399">
        <v>0.8</v>
      </c>
      <c r="K16" s="399">
        <v>0.8</v>
      </c>
      <c r="L16" s="399">
        <v>0.8</v>
      </c>
      <c r="M16" s="399">
        <v>0.8</v>
      </c>
      <c r="N16" s="399">
        <v>0.8</v>
      </c>
      <c r="O16" s="399">
        <v>0.8</v>
      </c>
      <c r="P16" s="399">
        <v>0.8</v>
      </c>
      <c r="Q16" s="399">
        <v>0.8</v>
      </c>
      <c r="R16" s="399">
        <v>0.8</v>
      </c>
      <c r="S16" s="399">
        <v>0.8</v>
      </c>
      <c r="T16" s="399">
        <v>0.8</v>
      </c>
      <c r="U16" s="399">
        <v>0.8</v>
      </c>
      <c r="V16" s="399">
        <v>0.8</v>
      </c>
      <c r="W16" s="399">
        <v>0.8</v>
      </c>
    </row>
    <row r="17" spans="1:23" x14ac:dyDescent="0.2">
      <c r="A17" s="399">
        <v>973</v>
      </c>
      <c r="B17" s="399">
        <v>0.4</v>
      </c>
      <c r="C17" s="399">
        <v>0.8</v>
      </c>
      <c r="D17" s="399">
        <v>0.8</v>
      </c>
      <c r="E17" s="399">
        <v>0.8</v>
      </c>
      <c r="F17" s="399">
        <v>0.8</v>
      </c>
      <c r="G17" s="399">
        <v>0.8</v>
      </c>
      <c r="H17" s="399">
        <v>0.8</v>
      </c>
      <c r="I17" s="399">
        <v>0.8</v>
      </c>
      <c r="J17" s="399">
        <v>0.8</v>
      </c>
      <c r="K17" s="399">
        <v>0.8</v>
      </c>
      <c r="L17" s="399">
        <v>0.8</v>
      </c>
      <c r="M17" s="399">
        <v>0.8</v>
      </c>
      <c r="N17" s="399">
        <v>0.8</v>
      </c>
      <c r="O17" s="399">
        <v>0.8</v>
      </c>
      <c r="P17" s="399">
        <v>0.8</v>
      </c>
      <c r="Q17" s="399">
        <v>0.8</v>
      </c>
      <c r="R17" s="399">
        <v>0.8</v>
      </c>
      <c r="S17" s="399">
        <v>0.8</v>
      </c>
      <c r="T17" s="399">
        <v>0.8</v>
      </c>
      <c r="U17" s="399">
        <v>0.8</v>
      </c>
      <c r="V17" s="399">
        <v>0.8</v>
      </c>
      <c r="W17" s="399">
        <v>0.8</v>
      </c>
    </row>
    <row r="18" spans="1:23" x14ac:dyDescent="0.2">
      <c r="A18" s="399">
        <v>1023</v>
      </c>
      <c r="B18" s="399">
        <v>0.4</v>
      </c>
      <c r="C18" s="399">
        <v>0.8</v>
      </c>
      <c r="D18" s="399">
        <v>0.8</v>
      </c>
      <c r="E18" s="399">
        <v>0.8</v>
      </c>
      <c r="F18" s="399">
        <v>0.8</v>
      </c>
      <c r="G18" s="399">
        <v>0.8</v>
      </c>
      <c r="H18" s="399">
        <v>0.8</v>
      </c>
      <c r="I18" s="399">
        <v>0.8</v>
      </c>
      <c r="J18" s="399">
        <v>0.8</v>
      </c>
      <c r="K18" s="399">
        <v>0.8</v>
      </c>
      <c r="L18" s="399">
        <v>0.8</v>
      </c>
      <c r="M18" s="399">
        <v>0.8</v>
      </c>
      <c r="N18" s="399">
        <v>0.8</v>
      </c>
      <c r="O18" s="399">
        <v>0.8</v>
      </c>
      <c r="P18" s="399">
        <v>0.8</v>
      </c>
      <c r="Q18" s="399">
        <v>0.8</v>
      </c>
      <c r="R18" s="399">
        <v>0.8</v>
      </c>
      <c r="S18" s="399">
        <v>0.8</v>
      </c>
      <c r="T18" s="399">
        <v>0.8</v>
      </c>
      <c r="U18" s="399">
        <v>0.8</v>
      </c>
      <c r="V18" s="399">
        <v>0.8</v>
      </c>
      <c r="W18" s="399">
        <v>0.8</v>
      </c>
    </row>
    <row r="19" spans="1:23" x14ac:dyDescent="0.2">
      <c r="A19" s="399">
        <v>1073</v>
      </c>
      <c r="B19" s="399">
        <v>0.4</v>
      </c>
      <c r="C19" s="399">
        <v>0.8</v>
      </c>
      <c r="D19" s="399">
        <v>0.8</v>
      </c>
      <c r="E19" s="399">
        <v>0.8</v>
      </c>
      <c r="F19" s="399">
        <v>0.8</v>
      </c>
      <c r="G19" s="399">
        <v>0.8</v>
      </c>
      <c r="H19" s="399">
        <v>0.8</v>
      </c>
      <c r="I19" s="399">
        <v>0.8</v>
      </c>
      <c r="J19" s="399">
        <v>0.8</v>
      </c>
      <c r="K19" s="399">
        <v>0.8</v>
      </c>
      <c r="L19" s="399">
        <v>0.8</v>
      </c>
      <c r="M19" s="399">
        <v>0.8</v>
      </c>
      <c r="N19" s="399">
        <v>0.8</v>
      </c>
      <c r="O19" s="399">
        <v>0.8</v>
      </c>
      <c r="P19" s="399">
        <v>0.8</v>
      </c>
      <c r="Q19" s="399">
        <v>0.8</v>
      </c>
      <c r="R19" s="399">
        <v>0.8</v>
      </c>
      <c r="S19" s="399">
        <v>0.8</v>
      </c>
      <c r="T19" s="399">
        <v>0.8</v>
      </c>
      <c r="U19" s="399">
        <v>0.8</v>
      </c>
      <c r="V19" s="399">
        <v>0.8</v>
      </c>
      <c r="W19" s="399">
        <v>0.8</v>
      </c>
    </row>
    <row r="20" spans="1:23" x14ac:dyDescent="0.2">
      <c r="A20" s="399">
        <v>1123</v>
      </c>
      <c r="B20" s="399">
        <v>0.8</v>
      </c>
      <c r="C20" s="399">
        <v>0.8</v>
      </c>
      <c r="D20" s="399">
        <v>0.8</v>
      </c>
      <c r="E20" s="399">
        <v>0.8</v>
      </c>
      <c r="F20" s="399">
        <v>0.8</v>
      </c>
      <c r="G20" s="399">
        <v>0.8</v>
      </c>
      <c r="H20" s="399">
        <v>0.8</v>
      </c>
      <c r="I20" s="399">
        <v>0.8</v>
      </c>
      <c r="J20" s="399">
        <v>0.8</v>
      </c>
      <c r="K20" s="399">
        <v>0.8</v>
      </c>
      <c r="L20" s="399">
        <v>0.8</v>
      </c>
      <c r="M20" s="399">
        <v>0.8</v>
      </c>
      <c r="N20" s="399">
        <v>0.8</v>
      </c>
      <c r="O20" s="399">
        <v>0.8</v>
      </c>
      <c r="P20" s="399">
        <v>0.8</v>
      </c>
      <c r="Q20" s="399">
        <v>0.8</v>
      </c>
      <c r="R20" s="399">
        <v>0.8</v>
      </c>
      <c r="S20" s="399">
        <v>0.8</v>
      </c>
      <c r="T20" s="399">
        <v>0.8</v>
      </c>
      <c r="U20" s="399">
        <v>0.8</v>
      </c>
      <c r="V20" s="399">
        <v>0.8</v>
      </c>
      <c r="W20" s="399">
        <v>0.8</v>
      </c>
    </row>
    <row r="21" spans="1:23" x14ac:dyDescent="0.2">
      <c r="A21" s="400">
        <v>1173</v>
      </c>
      <c r="B21" s="399">
        <v>0.8</v>
      </c>
      <c r="C21" s="399">
        <v>0.8</v>
      </c>
      <c r="D21" s="399">
        <v>0.8</v>
      </c>
      <c r="E21" s="399">
        <v>0.8</v>
      </c>
      <c r="F21" s="399">
        <v>0.8</v>
      </c>
      <c r="G21" s="399">
        <v>0.8</v>
      </c>
      <c r="H21" s="399">
        <v>0.8</v>
      </c>
      <c r="I21" s="399">
        <v>0.8</v>
      </c>
      <c r="J21" s="399">
        <v>0.8</v>
      </c>
      <c r="K21" s="399">
        <v>0.8</v>
      </c>
      <c r="L21" s="399">
        <v>0.8</v>
      </c>
      <c r="M21" s="399">
        <v>0.8</v>
      </c>
      <c r="N21" s="399">
        <v>0.8</v>
      </c>
      <c r="O21" s="399">
        <v>0.8</v>
      </c>
      <c r="P21" s="399">
        <v>0.8</v>
      </c>
      <c r="Q21" s="399">
        <v>0.8</v>
      </c>
      <c r="R21" s="399">
        <v>0.8</v>
      </c>
      <c r="S21" s="399">
        <v>0.8</v>
      </c>
      <c r="T21" s="399">
        <v>0.8</v>
      </c>
      <c r="U21" s="399">
        <v>0.8</v>
      </c>
      <c r="V21" s="399">
        <v>0.8</v>
      </c>
      <c r="W21" s="399">
        <v>0.8</v>
      </c>
    </row>
    <row r="22" spans="1:23" x14ac:dyDescent="0.2">
      <c r="A22" s="399">
        <v>1223</v>
      </c>
      <c r="B22" s="399">
        <v>0.8</v>
      </c>
      <c r="C22" s="399">
        <v>0.8</v>
      </c>
      <c r="D22" s="399">
        <v>0.8</v>
      </c>
      <c r="E22" s="399">
        <v>0.8</v>
      </c>
      <c r="F22" s="399">
        <v>0.8</v>
      </c>
      <c r="G22" s="399">
        <v>0.8</v>
      </c>
      <c r="H22" s="399">
        <v>0.8</v>
      </c>
      <c r="I22" s="399">
        <v>0.8</v>
      </c>
      <c r="J22" s="399">
        <v>0.8</v>
      </c>
      <c r="K22" s="399">
        <v>0.8</v>
      </c>
      <c r="L22" s="399">
        <v>0.8</v>
      </c>
      <c r="M22" s="399">
        <v>0.8</v>
      </c>
      <c r="N22" s="399">
        <v>0.8</v>
      </c>
      <c r="O22" s="399">
        <v>0.8</v>
      </c>
      <c r="P22" s="399">
        <v>0.8</v>
      </c>
      <c r="Q22" s="399">
        <v>0.8</v>
      </c>
      <c r="R22" s="399">
        <v>0.8</v>
      </c>
      <c r="S22" s="399">
        <v>0.8</v>
      </c>
      <c r="T22" s="399">
        <v>0.8</v>
      </c>
      <c r="U22" s="399">
        <v>0.8</v>
      </c>
      <c r="V22" s="399">
        <v>0.8</v>
      </c>
      <c r="W22" s="399">
        <v>0.8</v>
      </c>
    </row>
    <row r="23" spans="1:23" x14ac:dyDescent="0.2">
      <c r="A23" s="399">
        <v>1273</v>
      </c>
      <c r="B23" s="399">
        <v>0.8</v>
      </c>
      <c r="C23" s="399">
        <v>0.8</v>
      </c>
      <c r="D23" s="399">
        <v>0.8</v>
      </c>
      <c r="E23" s="399">
        <v>0.8</v>
      </c>
      <c r="F23" s="399">
        <v>0.8</v>
      </c>
      <c r="G23" s="399">
        <v>0.8</v>
      </c>
      <c r="H23" s="399">
        <v>0.8</v>
      </c>
      <c r="I23" s="399">
        <v>0.8</v>
      </c>
      <c r="J23" s="399">
        <v>0.8</v>
      </c>
      <c r="K23" s="399">
        <v>0.8</v>
      </c>
      <c r="L23" s="399">
        <v>0.8</v>
      </c>
      <c r="M23" s="399">
        <v>0.8</v>
      </c>
      <c r="N23" s="399">
        <v>0.8</v>
      </c>
      <c r="O23" s="399">
        <v>0.8</v>
      </c>
      <c r="P23" s="399">
        <v>0.8</v>
      </c>
      <c r="Q23" s="399">
        <v>0.8</v>
      </c>
      <c r="R23" s="399">
        <v>0.8</v>
      </c>
      <c r="S23" s="399">
        <v>0.8</v>
      </c>
      <c r="T23" s="399">
        <v>0.8</v>
      </c>
      <c r="U23" s="399">
        <v>0.8</v>
      </c>
      <c r="V23" s="399">
        <v>0.8</v>
      </c>
      <c r="W23" s="399">
        <v>0.8</v>
      </c>
    </row>
    <row r="24" spans="1:23" x14ac:dyDescent="0.2">
      <c r="A24" s="399">
        <v>1323</v>
      </c>
      <c r="B24" s="399">
        <v>0.8</v>
      </c>
      <c r="C24" s="399">
        <v>0.8</v>
      </c>
      <c r="D24" s="399">
        <v>0.8</v>
      </c>
      <c r="E24" s="399">
        <v>0.8</v>
      </c>
      <c r="F24" s="399">
        <v>0.8</v>
      </c>
      <c r="G24" s="399">
        <v>0.8</v>
      </c>
      <c r="H24" s="399">
        <v>0.8</v>
      </c>
      <c r="I24" s="399">
        <v>0.8</v>
      </c>
      <c r="J24" s="399">
        <v>0.8</v>
      </c>
      <c r="K24" s="399">
        <v>0.8</v>
      </c>
      <c r="L24" s="399">
        <v>0.8</v>
      </c>
      <c r="M24" s="399">
        <v>0.8</v>
      </c>
      <c r="N24" s="399">
        <v>0.8</v>
      </c>
      <c r="O24" s="399">
        <v>0.8</v>
      </c>
      <c r="P24" s="399">
        <v>0.8</v>
      </c>
      <c r="Q24" s="399">
        <v>0.8</v>
      </c>
      <c r="R24" s="399">
        <v>0.8</v>
      </c>
      <c r="S24" s="399">
        <v>0.8</v>
      </c>
      <c r="T24" s="399">
        <v>0.8</v>
      </c>
      <c r="U24" s="399">
        <v>0.8</v>
      </c>
      <c r="V24" s="399">
        <v>0.8</v>
      </c>
      <c r="W24" s="399">
        <v>0.8</v>
      </c>
    </row>
    <row r="25" spans="1:23" x14ac:dyDescent="0.2">
      <c r="A25" s="399">
        <v>1373</v>
      </c>
      <c r="B25" s="399">
        <v>0.8</v>
      </c>
      <c r="C25" s="399">
        <v>0.8</v>
      </c>
      <c r="D25" s="399">
        <v>0.8</v>
      </c>
      <c r="E25" s="399">
        <v>0.8</v>
      </c>
      <c r="F25" s="399">
        <v>0.8</v>
      </c>
      <c r="G25" s="399">
        <v>0.8</v>
      </c>
      <c r="H25" s="399">
        <v>0.8</v>
      </c>
      <c r="I25" s="399">
        <v>0.8</v>
      </c>
      <c r="J25" s="399">
        <v>0.8</v>
      </c>
      <c r="K25" s="399">
        <v>0.8</v>
      </c>
      <c r="L25" s="399">
        <v>0.8</v>
      </c>
      <c r="M25" s="399">
        <v>0.8</v>
      </c>
      <c r="N25" s="399">
        <v>0.8</v>
      </c>
      <c r="O25" s="399">
        <v>0.8</v>
      </c>
      <c r="P25" s="399">
        <v>0.8</v>
      </c>
      <c r="Q25" s="399">
        <v>0.8</v>
      </c>
      <c r="R25" s="399">
        <v>0.8</v>
      </c>
      <c r="S25" s="399">
        <v>0.8</v>
      </c>
      <c r="T25" s="399">
        <v>0.8</v>
      </c>
      <c r="U25" s="399">
        <v>0.8</v>
      </c>
      <c r="V25" s="399">
        <v>0.8</v>
      </c>
      <c r="W25" s="399">
        <v>0.8</v>
      </c>
    </row>
    <row r="26" spans="1:23" x14ac:dyDescent="0.2">
      <c r="A26" s="399">
        <v>1423</v>
      </c>
      <c r="B26" s="399">
        <v>0.8</v>
      </c>
      <c r="C26" s="399">
        <v>0.8</v>
      </c>
      <c r="D26" s="399">
        <v>0.8</v>
      </c>
      <c r="E26" s="399">
        <v>0.8</v>
      </c>
      <c r="F26" s="399">
        <v>0.8</v>
      </c>
      <c r="G26" s="399">
        <v>0.8</v>
      </c>
      <c r="H26" s="399">
        <v>0.8</v>
      </c>
      <c r="I26" s="399">
        <v>0.8</v>
      </c>
      <c r="J26" s="399">
        <v>0.8</v>
      </c>
      <c r="K26" s="399">
        <v>0.8</v>
      </c>
      <c r="L26" s="399">
        <v>0.8</v>
      </c>
      <c r="M26" s="399">
        <v>0.8</v>
      </c>
      <c r="N26" s="399">
        <v>0.8</v>
      </c>
      <c r="O26" s="399">
        <v>0.8</v>
      </c>
      <c r="P26" s="399">
        <v>0.8</v>
      </c>
      <c r="Q26" s="399">
        <v>0.8</v>
      </c>
      <c r="R26" s="399">
        <v>0.8</v>
      </c>
      <c r="S26" s="399">
        <v>0.8</v>
      </c>
      <c r="T26" s="399">
        <v>0.8</v>
      </c>
      <c r="U26" s="399">
        <v>0.8</v>
      </c>
      <c r="V26" s="399">
        <v>0.8</v>
      </c>
      <c r="W26" s="399">
        <v>0.8</v>
      </c>
    </row>
    <row r="27" spans="1:23" x14ac:dyDescent="0.2">
      <c r="A27" s="399">
        <v>1473</v>
      </c>
      <c r="B27" s="399">
        <v>0.8</v>
      </c>
      <c r="C27" s="399">
        <v>0.8</v>
      </c>
      <c r="D27" s="399">
        <v>0.8</v>
      </c>
      <c r="E27" s="399">
        <v>0.8</v>
      </c>
      <c r="F27" s="399">
        <v>0.8</v>
      </c>
      <c r="G27" s="399">
        <v>0.8</v>
      </c>
      <c r="H27" s="399">
        <v>0.8</v>
      </c>
      <c r="I27" s="399">
        <v>0.8</v>
      </c>
      <c r="J27" s="399">
        <v>0.8</v>
      </c>
      <c r="K27" s="399">
        <v>0.8</v>
      </c>
      <c r="L27" s="399">
        <v>0.8</v>
      </c>
      <c r="M27" s="399">
        <v>0.8</v>
      </c>
      <c r="N27" s="399">
        <v>0.8</v>
      </c>
      <c r="O27" s="399">
        <v>0.8</v>
      </c>
      <c r="P27" s="399">
        <v>0.8</v>
      </c>
      <c r="Q27" s="399">
        <v>0.8</v>
      </c>
      <c r="R27" s="399">
        <v>0.8</v>
      </c>
      <c r="S27" s="399">
        <v>0.8</v>
      </c>
      <c r="T27" s="399">
        <v>0.8</v>
      </c>
      <c r="U27" s="399">
        <v>0.8</v>
      </c>
      <c r="V27" s="399">
        <v>0.8</v>
      </c>
      <c r="W27" s="399">
        <v>0.8</v>
      </c>
    </row>
    <row r="28" spans="1:23" x14ac:dyDescent="0.2">
      <c r="A28" s="399">
        <v>1523</v>
      </c>
      <c r="B28" s="399">
        <v>0.8</v>
      </c>
      <c r="C28" s="399">
        <v>0.8</v>
      </c>
      <c r="D28" s="399">
        <v>0.8</v>
      </c>
      <c r="E28" s="399">
        <v>0.8</v>
      </c>
      <c r="F28" s="399">
        <v>0.8</v>
      </c>
      <c r="G28" s="399">
        <v>0.8</v>
      </c>
      <c r="H28" s="399">
        <v>0.8</v>
      </c>
      <c r="I28" s="399">
        <v>0.8</v>
      </c>
      <c r="J28" s="399">
        <v>0.8</v>
      </c>
      <c r="K28" s="399">
        <v>0.8</v>
      </c>
      <c r="L28" s="399">
        <v>0.8</v>
      </c>
      <c r="M28" s="399">
        <v>0.8</v>
      </c>
      <c r="N28" s="399">
        <v>0.8</v>
      </c>
      <c r="O28" s="399">
        <v>0.8</v>
      </c>
      <c r="P28" s="399">
        <v>0.8</v>
      </c>
      <c r="Q28" s="399">
        <v>0.8</v>
      </c>
      <c r="R28" s="399">
        <v>0.8</v>
      </c>
      <c r="S28" s="399">
        <v>0.8</v>
      </c>
      <c r="T28" s="399">
        <v>0.8</v>
      </c>
      <c r="U28" s="399">
        <v>0.8</v>
      </c>
      <c r="V28" s="399">
        <v>0.8</v>
      </c>
      <c r="W28" s="399">
        <v>0.8</v>
      </c>
    </row>
    <row r="29" spans="1:23" x14ac:dyDescent="0.2">
      <c r="A29" s="399">
        <v>1573</v>
      </c>
      <c r="B29" s="399">
        <v>0.8</v>
      </c>
      <c r="C29" s="399">
        <v>0.8</v>
      </c>
      <c r="D29" s="399">
        <v>0.8</v>
      </c>
      <c r="E29" s="399">
        <v>0.8</v>
      </c>
      <c r="F29" s="399">
        <v>0.8</v>
      </c>
      <c r="G29" s="399">
        <v>0.8</v>
      </c>
      <c r="H29" s="399">
        <v>0.8</v>
      </c>
      <c r="I29" s="399">
        <v>0.8</v>
      </c>
      <c r="J29" s="399">
        <v>0.8</v>
      </c>
      <c r="K29" s="399">
        <v>0.8</v>
      </c>
      <c r="L29" s="399">
        <v>0.8</v>
      </c>
      <c r="M29" s="399">
        <v>0.8</v>
      </c>
      <c r="N29" s="399">
        <v>0.8</v>
      </c>
      <c r="O29" s="399">
        <v>0.8</v>
      </c>
      <c r="P29" s="399">
        <v>0.8</v>
      </c>
      <c r="Q29" s="399">
        <v>0.8</v>
      </c>
      <c r="R29" s="399">
        <v>0.8</v>
      </c>
      <c r="S29" s="399">
        <v>0.8</v>
      </c>
      <c r="T29" s="399">
        <v>0.8</v>
      </c>
      <c r="U29" s="399">
        <v>0.8</v>
      </c>
      <c r="V29" s="399">
        <v>0.8</v>
      </c>
      <c r="W29" s="399">
        <v>0.8</v>
      </c>
    </row>
    <row r="30" spans="1:23" x14ac:dyDescent="0.2">
      <c r="A30" s="399">
        <v>1623</v>
      </c>
      <c r="B30" s="399">
        <v>0.8</v>
      </c>
      <c r="C30" s="399">
        <v>0.8</v>
      </c>
      <c r="D30" s="399">
        <v>0.8</v>
      </c>
      <c r="E30" s="399">
        <v>0.8</v>
      </c>
      <c r="F30" s="399">
        <v>0.8</v>
      </c>
      <c r="G30" s="399">
        <v>0.8</v>
      </c>
      <c r="H30" s="399">
        <v>0.8</v>
      </c>
      <c r="I30" s="399">
        <v>0.8</v>
      </c>
      <c r="J30" s="399">
        <v>0.8</v>
      </c>
      <c r="K30" s="399">
        <v>0.8</v>
      </c>
      <c r="L30" s="399">
        <v>0.8</v>
      </c>
      <c r="M30" s="399">
        <v>0.8</v>
      </c>
      <c r="N30" s="399">
        <v>0.8</v>
      </c>
      <c r="O30" s="399">
        <v>0.8</v>
      </c>
      <c r="P30" s="399">
        <v>0.8</v>
      </c>
      <c r="Q30" s="399">
        <v>0.8</v>
      </c>
      <c r="R30" s="399">
        <v>0.8</v>
      </c>
      <c r="S30" s="399">
        <v>0.8</v>
      </c>
      <c r="T30" s="399">
        <v>0.8</v>
      </c>
      <c r="U30" s="399">
        <v>0.8</v>
      </c>
      <c r="V30" s="399">
        <v>0.8</v>
      </c>
      <c r="W30" s="399">
        <v>0.8</v>
      </c>
    </row>
    <row r="31" spans="1:23" x14ac:dyDescent="0.2">
      <c r="A31" s="399">
        <v>3000</v>
      </c>
      <c r="B31" s="399">
        <v>0.8</v>
      </c>
      <c r="C31" s="399">
        <v>0.8</v>
      </c>
      <c r="D31" s="399">
        <v>0.8</v>
      </c>
      <c r="E31" s="399">
        <v>0.8</v>
      </c>
      <c r="F31" s="399">
        <v>0.8</v>
      </c>
      <c r="G31" s="399">
        <v>0.8</v>
      </c>
      <c r="H31" s="399">
        <v>0.8</v>
      </c>
      <c r="I31" s="399">
        <v>0.8</v>
      </c>
      <c r="J31" s="399">
        <v>0.8</v>
      </c>
      <c r="K31" s="399">
        <v>0.8</v>
      </c>
      <c r="L31" s="399">
        <v>0.8</v>
      </c>
      <c r="M31" s="399">
        <v>0.8</v>
      </c>
      <c r="N31" s="399">
        <v>0.8</v>
      </c>
      <c r="O31" s="399">
        <v>0.8</v>
      </c>
      <c r="P31" s="399">
        <v>0.8</v>
      </c>
      <c r="Q31" s="399">
        <v>0.8</v>
      </c>
      <c r="R31" s="399">
        <v>0.8</v>
      </c>
      <c r="S31" s="399">
        <v>0.8</v>
      </c>
      <c r="T31" s="399">
        <v>0.8</v>
      </c>
      <c r="U31" s="399">
        <v>0.8</v>
      </c>
      <c r="V31" s="399">
        <v>0.8</v>
      </c>
      <c r="W31" s="399">
        <v>0.8</v>
      </c>
    </row>
    <row r="34" spans="4:4" x14ac:dyDescent="0.2">
      <c r="D34" s="399">
        <f>800+273</f>
        <v>1073</v>
      </c>
    </row>
    <row r="36" spans="4:4" x14ac:dyDescent="0.2">
      <c r="D36" s="399">
        <f>555+273</f>
        <v>828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8D416-24CC-4A4C-86E7-8411DB6B0EDC}">
  <sheetPr codeName="Feuil20"/>
  <dimension ref="A1:K7"/>
  <sheetViews>
    <sheetView tabSelected="1" workbookViewId="0">
      <selection activeCell="B3" sqref="B3"/>
    </sheetView>
  </sheetViews>
  <sheetFormatPr baseColWidth="10" defaultColWidth="11.42578125" defaultRowHeight="12.75" x14ac:dyDescent="0.2"/>
  <cols>
    <col min="1" max="16384" width="11.42578125" style="41"/>
  </cols>
  <sheetData>
    <row r="1" spans="1:11" s="12" customFormat="1" x14ac:dyDescent="0.2">
      <c r="A1" s="336">
        <v>5</v>
      </c>
      <c r="B1" s="337"/>
    </row>
    <row r="2" spans="1:11" s="69" customFormat="1" x14ac:dyDescent="0.2">
      <c r="A2" s="69">
        <v>10</v>
      </c>
      <c r="B2" s="69" t="s">
        <v>684</v>
      </c>
      <c r="C2" s="69" t="s">
        <v>579</v>
      </c>
      <c r="D2" s="69" t="s">
        <v>685</v>
      </c>
      <c r="E2" s="69" t="s">
        <v>686</v>
      </c>
      <c r="F2" s="69" t="s">
        <v>687</v>
      </c>
      <c r="G2" s="69" t="s">
        <v>688</v>
      </c>
      <c r="H2" s="69" t="s">
        <v>689</v>
      </c>
      <c r="I2" s="69" t="s">
        <v>690</v>
      </c>
      <c r="J2" s="69" t="s">
        <v>691</v>
      </c>
      <c r="K2" s="69" t="s">
        <v>692</v>
      </c>
    </row>
    <row r="3" spans="1:11" x14ac:dyDescent="0.2">
      <c r="A3" s="41" t="s">
        <v>1</v>
      </c>
      <c r="B3" s="41">
        <v>20.8</v>
      </c>
      <c r="C3" s="41">
        <v>20.8</v>
      </c>
      <c r="D3" s="41">
        <v>100</v>
      </c>
      <c r="E3" s="41">
        <v>30</v>
      </c>
      <c r="F3" s="41">
        <v>40</v>
      </c>
      <c r="G3" s="41">
        <v>50</v>
      </c>
      <c r="H3" s="41">
        <v>60</v>
      </c>
      <c r="I3" s="41">
        <v>70</v>
      </c>
      <c r="J3" s="41">
        <v>80</v>
      </c>
      <c r="K3" s="41">
        <v>90</v>
      </c>
    </row>
    <row r="4" spans="1:11" x14ac:dyDescent="0.2">
      <c r="A4" s="41" t="s">
        <v>3</v>
      </c>
    </row>
    <row r="5" spans="1:11" x14ac:dyDescent="0.2">
      <c r="A5" s="41" t="s">
        <v>5</v>
      </c>
      <c r="C5" s="41">
        <v>0</v>
      </c>
    </row>
    <row r="6" spans="1:11" x14ac:dyDescent="0.2">
      <c r="A6" s="41" t="s">
        <v>68</v>
      </c>
      <c r="B6" s="41">
        <v>79.2</v>
      </c>
      <c r="C6" s="41">
        <v>79.2</v>
      </c>
      <c r="E6" s="41">
        <v>70</v>
      </c>
      <c r="F6" s="41">
        <v>60</v>
      </c>
      <c r="G6" s="41">
        <v>50</v>
      </c>
      <c r="H6" s="41">
        <v>40</v>
      </c>
      <c r="I6" s="41">
        <v>30</v>
      </c>
      <c r="J6" s="41">
        <v>20</v>
      </c>
      <c r="K6" s="41">
        <v>10</v>
      </c>
    </row>
    <row r="7" spans="1:11" x14ac:dyDescent="0.2">
      <c r="A7" s="41" t="s">
        <v>7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FF02F-5092-4222-8C8D-B4EF840A9FBD}">
  <sheetPr codeName="Feuil21"/>
  <dimension ref="A1:Z26"/>
  <sheetViews>
    <sheetView workbookViewId="0">
      <selection activeCell="E29" sqref="E29"/>
    </sheetView>
  </sheetViews>
  <sheetFormatPr baseColWidth="10" defaultColWidth="11.42578125" defaultRowHeight="12.75" x14ac:dyDescent="0.2"/>
  <cols>
    <col min="1" max="1" width="11.42578125" style="41"/>
    <col min="2" max="2" width="12" style="41" bestFit="1" customWidth="1"/>
    <col min="3" max="16384" width="11.42578125" style="41"/>
  </cols>
  <sheetData>
    <row r="1" spans="1:26" s="12" customFormat="1" x14ac:dyDescent="0.2">
      <c r="A1" s="336">
        <v>24</v>
      </c>
      <c r="B1" s="337"/>
    </row>
    <row r="2" spans="1:26" s="69" customFormat="1" x14ac:dyDescent="0.2">
      <c r="A2" s="69">
        <v>25</v>
      </c>
      <c r="B2" s="69" t="s">
        <v>974</v>
      </c>
      <c r="C2" s="69" t="s">
        <v>709</v>
      </c>
      <c r="D2" s="69" t="s">
        <v>710</v>
      </c>
      <c r="E2" s="69" t="s">
        <v>711</v>
      </c>
      <c r="F2" s="69" t="s">
        <v>693</v>
      </c>
      <c r="G2" s="69" t="s">
        <v>694</v>
      </c>
      <c r="H2" s="69" t="s">
        <v>695</v>
      </c>
      <c r="I2" s="69" t="s">
        <v>630</v>
      </c>
      <c r="J2" s="69" t="s">
        <v>696</v>
      </c>
      <c r="K2" s="69" t="s">
        <v>697</v>
      </c>
      <c r="L2" s="69" t="s">
        <v>712</v>
      </c>
      <c r="M2" s="69" t="s">
        <v>698</v>
      </c>
      <c r="N2" s="69" t="s">
        <v>699</v>
      </c>
      <c r="O2" s="69" t="s">
        <v>700</v>
      </c>
      <c r="P2" s="69" t="s">
        <v>701</v>
      </c>
      <c r="Q2" s="69" t="s">
        <v>702</v>
      </c>
      <c r="R2" s="69" t="s">
        <v>713</v>
      </c>
      <c r="S2" s="69" t="s">
        <v>397</v>
      </c>
      <c r="T2" s="69" t="s">
        <v>703</v>
      </c>
      <c r="U2" s="69" t="s">
        <v>704</v>
      </c>
      <c r="V2" s="69" t="s">
        <v>705</v>
      </c>
      <c r="W2" s="69" t="s">
        <v>706</v>
      </c>
      <c r="X2" s="69" t="s">
        <v>707</v>
      </c>
      <c r="Y2" s="69" t="s">
        <v>708</v>
      </c>
      <c r="Z2" s="69" t="s">
        <v>14</v>
      </c>
    </row>
    <row r="3" spans="1:26" x14ac:dyDescent="0.2">
      <c r="A3" s="41" t="s">
        <v>1</v>
      </c>
      <c r="C3" s="41">
        <v>0.61</v>
      </c>
      <c r="J3" s="41">
        <v>0.14000000000000001</v>
      </c>
      <c r="U3" s="41">
        <v>0.02</v>
      </c>
    </row>
    <row r="4" spans="1:26" x14ac:dyDescent="0.2">
      <c r="A4" s="41" t="s">
        <v>3</v>
      </c>
      <c r="B4" s="41">
        <v>22.55</v>
      </c>
      <c r="C4" s="41">
        <v>23.03</v>
      </c>
      <c r="D4" s="41">
        <v>0.60299999999999998</v>
      </c>
      <c r="G4" s="41">
        <v>20</v>
      </c>
      <c r="H4" s="41">
        <v>8</v>
      </c>
      <c r="J4" s="41">
        <v>7.61</v>
      </c>
      <c r="M4" s="41">
        <v>1.73</v>
      </c>
      <c r="N4" s="41">
        <v>2.2999999999999998</v>
      </c>
      <c r="O4" s="41">
        <v>1.1499999999999999</v>
      </c>
      <c r="P4" s="41">
        <v>0.8</v>
      </c>
      <c r="Q4" s="41">
        <v>2.2999999999999998</v>
      </c>
      <c r="T4" s="41">
        <v>12.726672000000001</v>
      </c>
      <c r="U4" s="41">
        <v>0.11</v>
      </c>
      <c r="V4" s="41">
        <v>4.3999999999999997E-2</v>
      </c>
      <c r="X4" s="41">
        <v>0.183499999999995</v>
      </c>
    </row>
    <row r="5" spans="1:26" s="195" customFormat="1" x14ac:dyDescent="0.2">
      <c r="A5" s="195" t="s">
        <v>5</v>
      </c>
      <c r="B5" s="195">
        <v>4.05</v>
      </c>
    </row>
    <row r="6" spans="1:26" s="195" customFormat="1" x14ac:dyDescent="0.2">
      <c r="A6" s="195" t="s">
        <v>68</v>
      </c>
      <c r="B6" s="195">
        <v>43.65</v>
      </c>
      <c r="C6" s="195">
        <v>47.64</v>
      </c>
      <c r="D6" s="195">
        <v>1.524</v>
      </c>
      <c r="E6" s="195">
        <v>1</v>
      </c>
      <c r="F6" s="195">
        <v>20</v>
      </c>
      <c r="G6" s="195">
        <v>60</v>
      </c>
      <c r="H6" s="195">
        <v>32.700000000000003</v>
      </c>
      <c r="I6" s="195">
        <v>3.5</v>
      </c>
      <c r="J6" s="195">
        <v>12.14</v>
      </c>
      <c r="K6" s="195">
        <v>5</v>
      </c>
      <c r="L6" s="195">
        <v>3.5</v>
      </c>
      <c r="M6" s="195">
        <v>11.75</v>
      </c>
      <c r="N6" s="195">
        <v>1</v>
      </c>
      <c r="O6" s="195">
        <v>12.15</v>
      </c>
      <c r="P6" s="195">
        <v>0.31</v>
      </c>
      <c r="Q6" s="195">
        <v>4.5999999999999996</v>
      </c>
      <c r="R6" s="195">
        <v>14.3</v>
      </c>
      <c r="T6" s="195">
        <v>27.261493000000002</v>
      </c>
      <c r="U6" s="195">
        <v>0.93</v>
      </c>
      <c r="V6" s="195">
        <v>0.749</v>
      </c>
      <c r="W6" s="195">
        <v>2.33</v>
      </c>
      <c r="X6" s="195">
        <v>0.3644</v>
      </c>
    </row>
    <row r="7" spans="1:26" x14ac:dyDescent="0.2">
      <c r="A7" s="41" t="s">
        <v>7</v>
      </c>
    </row>
    <row r="8" spans="1:26" x14ac:dyDescent="0.2">
      <c r="A8" s="41" t="s">
        <v>9</v>
      </c>
      <c r="B8" s="41">
        <v>4.8</v>
      </c>
      <c r="C8" s="41">
        <v>4.1900000000000004</v>
      </c>
      <c r="G8" s="41">
        <v>10</v>
      </c>
      <c r="H8" s="41">
        <v>4</v>
      </c>
      <c r="J8" s="41">
        <v>32.36</v>
      </c>
      <c r="L8" s="41">
        <v>20</v>
      </c>
      <c r="T8" s="41">
        <v>30.808737000000001</v>
      </c>
    </row>
    <row r="9" spans="1:26" s="195" customFormat="1" x14ac:dyDescent="0.2">
      <c r="A9" s="195" t="s">
        <v>11</v>
      </c>
      <c r="D9" s="195">
        <v>93.391999999999996</v>
      </c>
      <c r="E9" s="195">
        <v>94</v>
      </c>
      <c r="F9" s="195">
        <v>18.5</v>
      </c>
      <c r="G9" s="195">
        <v>2</v>
      </c>
      <c r="H9" s="195">
        <v>26.2</v>
      </c>
      <c r="I9" s="195">
        <v>90</v>
      </c>
      <c r="J9" s="195">
        <v>28.76</v>
      </c>
      <c r="K9" s="195">
        <v>95</v>
      </c>
      <c r="L9" s="195">
        <v>70</v>
      </c>
      <c r="M9" s="195">
        <v>82.33</v>
      </c>
      <c r="N9" s="195">
        <v>88.9</v>
      </c>
      <c r="O9" s="195">
        <v>82.49</v>
      </c>
      <c r="P9" s="195">
        <v>93.09</v>
      </c>
      <c r="Q9" s="195">
        <v>92.1</v>
      </c>
      <c r="R9" s="195">
        <v>81.3</v>
      </c>
      <c r="S9" s="195">
        <v>100</v>
      </c>
      <c r="T9" s="195">
        <v>11.389898000000001</v>
      </c>
      <c r="U9" s="195">
        <v>93.39</v>
      </c>
      <c r="V9" s="195">
        <v>94.632999999999996</v>
      </c>
      <c r="W9" s="195">
        <v>90.4</v>
      </c>
      <c r="X9" s="195">
        <v>98.77</v>
      </c>
      <c r="Y9" s="195">
        <v>92.3</v>
      </c>
    </row>
    <row r="10" spans="1:26" s="195" customFormat="1" x14ac:dyDescent="0.2">
      <c r="A10" s="195" t="s">
        <v>13</v>
      </c>
      <c r="D10" s="195">
        <v>3.4710000000000001</v>
      </c>
      <c r="E10" s="195">
        <v>3</v>
      </c>
      <c r="H10" s="195">
        <v>0.8</v>
      </c>
      <c r="I10" s="195">
        <v>4</v>
      </c>
      <c r="J10" s="195">
        <v>1.325</v>
      </c>
      <c r="L10" s="195">
        <v>4</v>
      </c>
      <c r="M10" s="195">
        <v>3.31</v>
      </c>
      <c r="N10" s="195">
        <v>6.2</v>
      </c>
      <c r="O10" s="195">
        <v>3.33</v>
      </c>
      <c r="P10" s="195">
        <v>4.07</v>
      </c>
      <c r="Q10" s="195">
        <v>1</v>
      </c>
      <c r="R10" s="195">
        <v>2.9</v>
      </c>
      <c r="T10" s="195">
        <v>1.6066088999999999</v>
      </c>
      <c r="U10" s="195">
        <v>3.92</v>
      </c>
      <c r="V10" s="195">
        <v>3.4279999999999999</v>
      </c>
      <c r="W10" s="195">
        <v>6.03</v>
      </c>
      <c r="X10" s="195">
        <v>0.36</v>
      </c>
      <c r="Y10" s="195">
        <v>4.2</v>
      </c>
    </row>
    <row r="11" spans="1:26" x14ac:dyDescent="0.2">
      <c r="A11" s="41" t="s">
        <v>15</v>
      </c>
      <c r="D11" s="41">
        <v>0.65200000000000002</v>
      </c>
      <c r="E11" s="41">
        <v>2</v>
      </c>
      <c r="H11" s="41">
        <v>0.4</v>
      </c>
      <c r="I11" s="41">
        <v>2</v>
      </c>
      <c r="J11" s="41">
        <v>0.2</v>
      </c>
      <c r="L11" s="41">
        <v>2</v>
      </c>
      <c r="M11" s="41">
        <v>0.57999999999999996</v>
      </c>
      <c r="N11" s="41">
        <v>1.1000000000000001</v>
      </c>
      <c r="O11" s="41">
        <v>0.61</v>
      </c>
      <c r="P11" s="41">
        <v>0.66</v>
      </c>
      <c r="R11" s="41">
        <v>0.4</v>
      </c>
      <c r="U11" s="41">
        <v>0.92</v>
      </c>
      <c r="V11" s="41">
        <v>0.83899999999999997</v>
      </c>
      <c r="W11" s="41">
        <v>0.9</v>
      </c>
      <c r="X11" s="41">
        <v>0.15</v>
      </c>
      <c r="Y11" s="41">
        <v>0.72</v>
      </c>
      <c r="Z11" s="41">
        <v>100</v>
      </c>
    </row>
    <row r="12" spans="1:26" x14ac:dyDescent="0.2">
      <c r="A12" s="41" t="s">
        <v>17</v>
      </c>
      <c r="D12" s="41">
        <v>0.22700000000000001</v>
      </c>
      <c r="H12" s="41">
        <v>0.1</v>
      </c>
      <c r="I12" s="41">
        <v>0.5</v>
      </c>
      <c r="J12" s="41">
        <v>6.5000000000000002E-2</v>
      </c>
      <c r="L12" s="41">
        <v>0.5</v>
      </c>
      <c r="M12" s="41">
        <v>0.3</v>
      </c>
      <c r="N12" s="41">
        <v>0.5</v>
      </c>
      <c r="O12" s="41">
        <v>0.22</v>
      </c>
      <c r="P12" s="41">
        <v>0.26</v>
      </c>
      <c r="R12" s="41">
        <v>0.2</v>
      </c>
      <c r="U12" s="41">
        <v>0.4</v>
      </c>
      <c r="V12" s="41">
        <v>0.28899999999999998</v>
      </c>
      <c r="W12" s="41">
        <v>0.19</v>
      </c>
      <c r="X12" s="41">
        <v>8.4400000000000003E-2</v>
      </c>
      <c r="Y12" s="41">
        <v>0.4</v>
      </c>
    </row>
    <row r="13" spans="1:26" s="195" customFormat="1" x14ac:dyDescent="0.2">
      <c r="A13" s="195" t="s">
        <v>19</v>
      </c>
      <c r="D13" s="195">
        <v>6.4000000000000001E-2</v>
      </c>
      <c r="J13" s="195">
        <v>1.4999999999999999E-2</v>
      </c>
      <c r="O13" s="195">
        <v>0.05</v>
      </c>
      <c r="P13" s="195">
        <v>0.81</v>
      </c>
      <c r="R13" s="195">
        <v>0.9</v>
      </c>
      <c r="V13" s="195">
        <v>0.01</v>
      </c>
      <c r="X13" s="195">
        <v>3.7499999999999999E-2</v>
      </c>
      <c r="Y13" s="195">
        <v>2.38</v>
      </c>
    </row>
    <row r="14" spans="1:26" s="195" customFormat="1" x14ac:dyDescent="0.2">
      <c r="A14" s="195" t="s">
        <v>21</v>
      </c>
      <c r="D14" s="195">
        <v>6.7000000000000004E-2</v>
      </c>
      <c r="V14" s="195">
        <v>8.0000000000000002E-3</v>
      </c>
      <c r="X14" s="195">
        <v>5.0200000000000002E-2</v>
      </c>
    </row>
    <row r="15" spans="1:26" x14ac:dyDescent="0.2">
      <c r="A15" s="41" t="s">
        <v>23</v>
      </c>
    </row>
    <row r="16" spans="1:26" x14ac:dyDescent="0.2">
      <c r="A16" s="41" t="s">
        <v>25</v>
      </c>
    </row>
    <row r="17" spans="1:23" s="195" customFormat="1" x14ac:dyDescent="0.2">
      <c r="A17" s="195" t="s">
        <v>27</v>
      </c>
    </row>
    <row r="18" spans="1:23" s="195" customFormat="1" x14ac:dyDescent="0.2">
      <c r="A18" s="195" t="s">
        <v>29</v>
      </c>
      <c r="J18" s="195">
        <v>0.86</v>
      </c>
      <c r="T18" s="195">
        <v>0.87604009999999999</v>
      </c>
    </row>
    <row r="19" spans="1:23" x14ac:dyDescent="0.2">
      <c r="A19" s="41" t="s">
        <v>31</v>
      </c>
      <c r="J19" s="41">
        <v>7.0000000000000007E-2</v>
      </c>
    </row>
    <row r="20" spans="1:23" x14ac:dyDescent="0.2">
      <c r="A20" s="41" t="s">
        <v>33</v>
      </c>
      <c r="W20" s="41">
        <v>0.13</v>
      </c>
    </row>
    <row r="21" spans="1:23" s="195" customFormat="1" x14ac:dyDescent="0.2">
      <c r="A21" s="195" t="s">
        <v>35</v>
      </c>
      <c r="U21" s="195">
        <v>0.13500000000000001</v>
      </c>
      <c r="W21" s="195">
        <v>0.02</v>
      </c>
    </row>
    <row r="22" spans="1:23" s="195" customFormat="1" x14ac:dyDescent="0.2">
      <c r="A22" s="195" t="s">
        <v>37</v>
      </c>
      <c r="U22" s="195">
        <v>0.17499999999999999</v>
      </c>
    </row>
    <row r="23" spans="1:23" x14ac:dyDescent="0.2">
      <c r="A23" s="41" t="s">
        <v>39</v>
      </c>
    </row>
    <row r="24" spans="1:23" x14ac:dyDescent="0.2">
      <c r="A24" s="41" t="s">
        <v>41</v>
      </c>
    </row>
    <row r="25" spans="1:23" s="195" customFormat="1" x14ac:dyDescent="0.2">
      <c r="A25" s="195" t="s">
        <v>43</v>
      </c>
      <c r="B25" s="195">
        <v>24.95</v>
      </c>
      <c r="C25" s="195">
        <v>24.53</v>
      </c>
      <c r="F25" s="195">
        <v>60</v>
      </c>
      <c r="G25" s="195">
        <v>8</v>
      </c>
      <c r="H25" s="195">
        <v>27.2</v>
      </c>
      <c r="J25" s="195">
        <v>16.454999999999998</v>
      </c>
      <c r="T25" s="195">
        <v>15.330551</v>
      </c>
    </row>
    <row r="26" spans="1:23" s="195" customFormat="1" x14ac:dyDescent="0.2">
      <c r="A26" s="195" t="s">
        <v>45</v>
      </c>
      <c r="F26" s="195">
        <v>1.5</v>
      </c>
      <c r="H26" s="195">
        <v>0.6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564F0-113B-4978-8696-07F486E336EE}">
  <sheetPr codeName="Feuil19">
    <pageSetUpPr fitToPage="1"/>
  </sheetPr>
  <dimension ref="B2:U44"/>
  <sheetViews>
    <sheetView topLeftCell="A9" workbookViewId="0">
      <selection activeCell="L31" sqref="L31"/>
    </sheetView>
  </sheetViews>
  <sheetFormatPr baseColWidth="10" defaultColWidth="11.42578125" defaultRowHeight="12.75" x14ac:dyDescent="0.2"/>
  <cols>
    <col min="1" max="1" width="5" style="40" customWidth="1"/>
    <col min="2" max="2" width="4.28515625" style="40" customWidth="1"/>
    <col min="3" max="3" width="15" style="40" customWidth="1"/>
    <col min="4" max="4" width="14.28515625" style="40" customWidth="1"/>
    <col min="5" max="5" width="7.7109375" style="40" customWidth="1"/>
    <col min="6" max="7" width="14.28515625" style="40" customWidth="1"/>
    <col min="8" max="8" width="3.5703125" style="40" customWidth="1"/>
    <col min="9" max="16384" width="11.42578125" style="40"/>
  </cols>
  <sheetData>
    <row r="2" spans="2:21" x14ac:dyDescent="0.2">
      <c r="B2" s="305"/>
      <c r="C2" s="304"/>
      <c r="D2" s="304"/>
      <c r="E2" s="304"/>
      <c r="F2" s="304"/>
      <c r="G2" s="304"/>
      <c r="H2" s="303"/>
    </row>
    <row r="3" spans="2:21" x14ac:dyDescent="0.2">
      <c r="B3" s="200"/>
      <c r="G3" s="326" t="str">
        <f>IF(F7="French","A propos de…","About...")</f>
        <v>About...</v>
      </c>
      <c r="H3" s="82"/>
    </row>
    <row r="4" spans="2:21" x14ac:dyDescent="0.2">
      <c r="B4" s="200"/>
      <c r="H4" s="82"/>
    </row>
    <row r="5" spans="2:21" ht="15" x14ac:dyDescent="0.2">
      <c r="B5" s="200"/>
      <c r="F5" s="135"/>
      <c r="H5" s="82"/>
    </row>
    <row r="6" spans="2:21" x14ac:dyDescent="0.2">
      <c r="B6" s="200"/>
      <c r="F6" s="326"/>
      <c r="H6" s="82"/>
    </row>
    <row r="7" spans="2:21" ht="15" x14ac:dyDescent="0.3">
      <c r="B7" s="200"/>
      <c r="F7" s="327"/>
      <c r="H7" s="82"/>
    </row>
    <row r="8" spans="2:21" ht="12.75" customHeight="1" x14ac:dyDescent="0.2">
      <c r="B8" s="200"/>
      <c r="H8" s="82"/>
    </row>
    <row r="9" spans="2:21" x14ac:dyDescent="0.2">
      <c r="B9" s="200"/>
      <c r="H9" s="82"/>
    </row>
    <row r="10" spans="2:21" ht="12.75" customHeight="1" x14ac:dyDescent="0.2">
      <c r="B10" s="200"/>
      <c r="C10" s="494" t="s">
        <v>654</v>
      </c>
      <c r="D10" s="495"/>
      <c r="F10" s="494" t="s">
        <v>655</v>
      </c>
      <c r="G10" s="495"/>
      <c r="H10" s="82"/>
    </row>
    <row r="11" spans="2:21" ht="12.75" customHeight="1" x14ac:dyDescent="0.2">
      <c r="B11" s="200"/>
      <c r="C11" s="496"/>
      <c r="D11" s="497"/>
      <c r="F11" s="496"/>
      <c r="G11" s="497"/>
      <c r="H11" s="82"/>
      <c r="R11" s="41"/>
    </row>
    <row r="12" spans="2:21" ht="12.75" customHeight="1" x14ac:dyDescent="0.2">
      <c r="B12" s="200"/>
      <c r="C12" s="498"/>
      <c r="D12" s="499"/>
      <c r="F12" s="498"/>
      <c r="G12" s="499"/>
      <c r="H12" s="82"/>
      <c r="R12" s="41"/>
    </row>
    <row r="13" spans="2:21" x14ac:dyDescent="0.2">
      <c r="B13" s="200"/>
      <c r="C13" s="40" t="s">
        <v>656</v>
      </c>
      <c r="D13" s="328" t="s">
        <v>487</v>
      </c>
      <c r="H13" s="82"/>
      <c r="R13" s="41"/>
    </row>
    <row r="14" spans="2:21" x14ac:dyDescent="0.2">
      <c r="B14" s="200"/>
      <c r="H14" s="82"/>
      <c r="R14" s="41"/>
      <c r="U14" s="40" t="s">
        <v>486</v>
      </c>
    </row>
    <row r="15" spans="2:21" x14ac:dyDescent="0.2">
      <c r="B15" s="200"/>
      <c r="H15" s="82"/>
      <c r="R15" s="41"/>
      <c r="U15" s="40" t="s">
        <v>487</v>
      </c>
    </row>
    <row r="16" spans="2:21" x14ac:dyDescent="0.2">
      <c r="B16" s="200"/>
      <c r="C16" s="329" t="s">
        <v>657</v>
      </c>
      <c r="H16" s="82"/>
      <c r="R16" s="41"/>
    </row>
    <row r="17" spans="2:7" x14ac:dyDescent="0.2">
      <c r="B17" s="200"/>
      <c r="C17" s="500" t="s">
        <v>658</v>
      </c>
      <c r="D17" s="500"/>
      <c r="E17" s="500"/>
      <c r="F17" s="500"/>
      <c r="G17" s="500"/>
    </row>
    <row r="18" spans="2:7" x14ac:dyDescent="0.2">
      <c r="B18" s="200"/>
      <c r="C18" s="500"/>
      <c r="D18" s="500"/>
      <c r="E18" s="500"/>
      <c r="F18" s="500"/>
      <c r="G18" s="500"/>
    </row>
    <row r="19" spans="2:7" x14ac:dyDescent="0.2">
      <c r="B19" s="200"/>
      <c r="C19" s="330" t="s">
        <v>659</v>
      </c>
    </row>
    <row r="20" spans="2:7" x14ac:dyDescent="0.2">
      <c r="B20" s="200"/>
      <c r="C20" s="331"/>
    </row>
    <row r="21" spans="2:7" x14ac:dyDescent="0.2">
      <c r="B21" s="200"/>
    </row>
    <row r="22" spans="2:7" x14ac:dyDescent="0.2">
      <c r="B22" s="200"/>
      <c r="C22" s="40" t="s">
        <v>660</v>
      </c>
    </row>
    <row r="23" spans="2:7" x14ac:dyDescent="0.2">
      <c r="B23" s="200"/>
      <c r="C23" s="332" t="s">
        <v>661</v>
      </c>
      <c r="E23" s="493" t="s">
        <v>662</v>
      </c>
      <c r="F23" s="493"/>
      <c r="G23" s="493"/>
    </row>
    <row r="24" spans="2:7" x14ac:dyDescent="0.2">
      <c r="B24" s="200"/>
      <c r="C24" s="332" t="s">
        <v>663</v>
      </c>
      <c r="E24" s="492" t="s">
        <v>664</v>
      </c>
      <c r="F24" s="493"/>
      <c r="G24" s="493"/>
    </row>
    <row r="25" spans="2:7" x14ac:dyDescent="0.2">
      <c r="B25" s="200"/>
      <c r="C25" s="332" t="s">
        <v>665</v>
      </c>
      <c r="E25" s="492" t="s">
        <v>666</v>
      </c>
      <c r="F25" s="493"/>
      <c r="G25" s="493"/>
    </row>
    <row r="26" spans="2:7" x14ac:dyDescent="0.2">
      <c r="B26" s="200"/>
      <c r="C26" s="332" t="s">
        <v>667</v>
      </c>
      <c r="E26" s="502">
        <v>40673</v>
      </c>
      <c r="F26" s="493"/>
      <c r="G26" s="493"/>
    </row>
    <row r="27" spans="2:7" x14ac:dyDescent="0.2">
      <c r="B27" s="200"/>
      <c r="C27" s="332" t="s">
        <v>668</v>
      </c>
      <c r="E27" s="493" t="s">
        <v>166</v>
      </c>
      <c r="F27" s="493"/>
      <c r="G27" s="493"/>
    </row>
    <row r="28" spans="2:7" x14ac:dyDescent="0.2">
      <c r="B28" s="212"/>
      <c r="C28" s="333"/>
      <c r="D28" s="333"/>
      <c r="E28" s="333"/>
      <c r="F28" s="333"/>
      <c r="G28" s="333"/>
    </row>
    <row r="29" spans="2:7" x14ac:dyDescent="0.2">
      <c r="B29" s="305"/>
      <c r="C29" s="304"/>
      <c r="D29" s="304"/>
      <c r="E29" s="304"/>
      <c r="F29" s="304"/>
      <c r="G29" s="304"/>
    </row>
    <row r="30" spans="2:7" x14ac:dyDescent="0.2">
      <c r="B30" s="200"/>
      <c r="C30" s="40" t="s">
        <v>669</v>
      </c>
    </row>
    <row r="31" spans="2:7" x14ac:dyDescent="0.2">
      <c r="B31" s="200"/>
      <c r="C31" s="501" t="s">
        <v>670</v>
      </c>
      <c r="D31" s="501"/>
      <c r="E31" s="501"/>
      <c r="F31" s="501"/>
      <c r="G31" s="501"/>
    </row>
    <row r="33" spans="3:7" x14ac:dyDescent="0.2">
      <c r="C33" s="40" t="s">
        <v>671</v>
      </c>
    </row>
    <row r="34" spans="3:7" x14ac:dyDescent="0.2">
      <c r="C34" s="501" t="s">
        <v>672</v>
      </c>
      <c r="D34" s="501"/>
      <c r="E34" s="501"/>
      <c r="F34" s="501"/>
      <c r="G34" s="501"/>
    </row>
    <row r="35" spans="3:7" x14ac:dyDescent="0.2">
      <c r="C35" s="332"/>
      <c r="D35" s="332"/>
      <c r="E35" s="332"/>
      <c r="F35" s="332"/>
      <c r="G35" s="332"/>
    </row>
    <row r="36" spans="3:7" x14ac:dyDescent="0.2">
      <c r="C36" s="40" t="s">
        <v>673</v>
      </c>
    </row>
    <row r="37" spans="3:7" x14ac:dyDescent="0.2">
      <c r="C37" s="501" t="s">
        <v>674</v>
      </c>
      <c r="D37" s="501"/>
      <c r="E37" s="501"/>
      <c r="F37" s="501"/>
      <c r="G37" s="501"/>
    </row>
    <row r="38" spans="3:7" x14ac:dyDescent="0.2">
      <c r="C38" s="332"/>
    </row>
    <row r="39" spans="3:7" ht="15" x14ac:dyDescent="0.2">
      <c r="C39" s="40" t="s">
        <v>675</v>
      </c>
      <c r="E39" s="334" t="s">
        <v>676</v>
      </c>
      <c r="F39" s="334" t="s">
        <v>677</v>
      </c>
      <c r="G39" s="335" t="s">
        <v>678</v>
      </c>
    </row>
    <row r="40" spans="3:7" x14ac:dyDescent="0.2">
      <c r="C40" s="501" t="s">
        <v>679</v>
      </c>
      <c r="D40" s="501"/>
      <c r="E40" s="501"/>
      <c r="F40" s="501"/>
      <c r="G40" s="501"/>
    </row>
    <row r="41" spans="3:7" ht="15" x14ac:dyDescent="0.2">
      <c r="C41" s="40" t="s">
        <v>680</v>
      </c>
      <c r="D41" s="332"/>
      <c r="E41" s="334" t="s">
        <v>676</v>
      </c>
      <c r="F41" s="334" t="s">
        <v>677</v>
      </c>
      <c r="G41" s="335" t="s">
        <v>678</v>
      </c>
    </row>
    <row r="42" spans="3:7" x14ac:dyDescent="0.2">
      <c r="C42" s="501" t="s">
        <v>681</v>
      </c>
      <c r="D42" s="501"/>
      <c r="E42" s="501"/>
      <c r="F42" s="501"/>
      <c r="G42" s="501"/>
    </row>
    <row r="43" spans="3:7" ht="15" x14ac:dyDescent="0.2">
      <c r="C43" s="40" t="s">
        <v>682</v>
      </c>
      <c r="D43" s="332"/>
      <c r="E43" s="334" t="s">
        <v>676</v>
      </c>
      <c r="F43" s="334" t="s">
        <v>677</v>
      </c>
      <c r="G43" s="335" t="s">
        <v>678</v>
      </c>
    </row>
    <row r="44" spans="3:7" x14ac:dyDescent="0.2">
      <c r="C44" s="501" t="s">
        <v>683</v>
      </c>
      <c r="D44" s="501"/>
      <c r="E44" s="501"/>
      <c r="F44" s="501"/>
      <c r="G44" s="501"/>
    </row>
  </sheetData>
  <mergeCells count="14">
    <mergeCell ref="C42:G42"/>
    <mergeCell ref="C44:G44"/>
    <mergeCell ref="E26:G26"/>
    <mergeCell ref="E27:G27"/>
    <mergeCell ref="C31:G31"/>
    <mergeCell ref="C34:G34"/>
    <mergeCell ref="C37:G37"/>
    <mergeCell ref="C40:G40"/>
    <mergeCell ref="E25:G25"/>
    <mergeCell ref="C10:D12"/>
    <mergeCell ref="F10:G12"/>
    <mergeCell ref="C17:G18"/>
    <mergeCell ref="E23:G23"/>
    <mergeCell ref="E24:G24"/>
  </mergeCells>
  <dataValidations count="2">
    <dataValidation type="list" allowBlank="1" showInputMessage="1" showErrorMessage="1" sqref="D13" xr:uid="{E7368DB2-D049-4E77-A7B3-E3CDBFC5B049}">
      <formula1>$U$14:$U$15</formula1>
    </dataValidation>
    <dataValidation type="list" allowBlank="1" showInputMessage="1" showErrorMessage="1" sqref="M30 K30 E30 G30 I30 O30" xr:uid="{69144A8D-E40B-4C60-A41C-9B8F6F14ABA4}">
      <formula1>$S$25:$S$25</formula1>
    </dataValidation>
  </dataValidations>
  <pageMargins left="0.78740157480314965" right="0.78740157480314965" top="0.98425196850393704" bottom="0.98425196850393704" header="0.51181102362204722" footer="0.51181102362204722"/>
  <pageSetup paperSize="9" scale="58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B023-4A3F-49D6-BE6D-726C743FCAAF}">
  <sheetPr codeName="Feuil18"/>
  <dimension ref="A1:S27"/>
  <sheetViews>
    <sheetView workbookViewId="0">
      <selection activeCell="G34" sqref="G34"/>
    </sheetView>
  </sheetViews>
  <sheetFormatPr baseColWidth="10" defaultColWidth="11.42578125" defaultRowHeight="12.75" x14ac:dyDescent="0.2"/>
  <cols>
    <col min="1" max="1" width="23.42578125" style="40" customWidth="1"/>
    <col min="2" max="2" width="11.28515625" style="40" customWidth="1"/>
    <col min="3" max="4" width="19.5703125" style="40" bestFit="1" customWidth="1"/>
    <col min="5" max="5" width="19.7109375" style="40" bestFit="1" customWidth="1"/>
    <col min="6" max="7" width="19.5703125" style="40" bestFit="1" customWidth="1"/>
    <col min="8" max="8" width="16.7109375" style="40" bestFit="1" customWidth="1"/>
    <col min="9" max="9" width="27.28515625" style="41" bestFit="1" customWidth="1"/>
    <col min="10" max="11" width="21.42578125" style="41" bestFit="1" customWidth="1"/>
    <col min="12" max="12" width="20.28515625" style="41" bestFit="1" customWidth="1"/>
    <col min="13" max="13" width="20.42578125" style="41" customWidth="1"/>
    <col min="14" max="14" width="10" style="41" bestFit="1" customWidth="1"/>
    <col min="15" max="15" width="15.5703125" style="41" bestFit="1" customWidth="1"/>
    <col min="16" max="16" width="13" style="41" bestFit="1" customWidth="1"/>
    <col min="17" max="17" width="12.42578125" style="41" bestFit="1" customWidth="1"/>
    <col min="18" max="18" width="13" style="41" bestFit="1" customWidth="1"/>
    <col min="19" max="19" width="12.42578125" style="41" bestFit="1" customWidth="1"/>
    <col min="20" max="16384" width="11.42578125" style="40"/>
  </cols>
  <sheetData>
    <row r="1" spans="1:19" x14ac:dyDescent="0.2">
      <c r="A1" s="40" t="s">
        <v>46</v>
      </c>
    </row>
    <row r="2" spans="1:19" x14ac:dyDescent="0.2">
      <c r="A2" s="324"/>
      <c r="B2" s="324"/>
      <c r="C2" s="324"/>
      <c r="D2" s="324"/>
      <c r="E2" s="324"/>
      <c r="F2" s="324"/>
      <c r="G2" s="324"/>
      <c r="H2" s="321" t="s">
        <v>55</v>
      </c>
      <c r="I2" s="321" t="s">
        <v>57</v>
      </c>
      <c r="J2" s="321" t="s">
        <v>57</v>
      </c>
      <c r="K2" s="321" t="s">
        <v>57</v>
      </c>
      <c r="L2" s="323">
        <v>2273</v>
      </c>
      <c r="M2" s="503" t="s">
        <v>638</v>
      </c>
      <c r="N2" s="503"/>
      <c r="O2" s="503"/>
      <c r="P2" s="321"/>
      <c r="Q2" s="321"/>
      <c r="R2" s="321"/>
      <c r="S2" s="321"/>
    </row>
    <row r="3" spans="1:19" s="41" customFormat="1" x14ac:dyDescent="0.2">
      <c r="A3" s="321" t="s">
        <v>47</v>
      </c>
      <c r="B3" s="321" t="s">
        <v>48</v>
      </c>
      <c r="C3" s="321" t="s">
        <v>49</v>
      </c>
      <c r="D3" s="321" t="s">
        <v>50</v>
      </c>
      <c r="E3" s="321" t="s">
        <v>51</v>
      </c>
      <c r="F3" s="321" t="s">
        <v>52</v>
      </c>
      <c r="G3" s="321" t="s">
        <v>53</v>
      </c>
      <c r="H3" s="321" t="s">
        <v>54</v>
      </c>
      <c r="I3" s="321" t="s">
        <v>56</v>
      </c>
      <c r="J3" s="322" t="s">
        <v>58</v>
      </c>
      <c r="K3" s="321" t="s">
        <v>637</v>
      </c>
      <c r="L3" s="321" t="s">
        <v>59</v>
      </c>
      <c r="M3" s="321" t="s">
        <v>60</v>
      </c>
      <c r="N3" s="321" t="s">
        <v>61</v>
      </c>
      <c r="O3" s="321" t="s">
        <v>62</v>
      </c>
      <c r="P3" s="321" t="s">
        <v>63</v>
      </c>
      <c r="Q3" s="321" t="s">
        <v>64</v>
      </c>
      <c r="R3" s="321" t="s">
        <v>65</v>
      </c>
      <c r="S3" s="321" t="s">
        <v>66</v>
      </c>
    </row>
    <row r="4" spans="1:19" s="41" customFormat="1" x14ac:dyDescent="0.2">
      <c r="A4" s="186" t="s">
        <v>0</v>
      </c>
      <c r="B4" s="186" t="s">
        <v>1</v>
      </c>
      <c r="C4" s="186"/>
      <c r="D4" s="186"/>
      <c r="E4" s="186">
        <v>2</v>
      </c>
      <c r="F4" s="186"/>
      <c r="G4" s="186"/>
      <c r="H4" s="186">
        <v>31.998000000000001</v>
      </c>
      <c r="I4" s="186">
        <v>0</v>
      </c>
      <c r="J4" s="319">
        <v>0</v>
      </c>
      <c r="K4" s="186">
        <f t="shared" ref="K4:K27" si="0">$J4+44000000*$D4/2</f>
        <v>0</v>
      </c>
      <c r="L4" s="320">
        <f t="shared" ref="L4:L27" si="1">M4+N4*$L$2+O4*$L$2^2+P4*$L$2^3+Q4*$L$2^4+R4*$L$2^5+S4*$L$2^6</f>
        <v>1272.3885553943765</v>
      </c>
      <c r="M4" s="186">
        <v>876.31700000000001</v>
      </c>
      <c r="N4" s="319">
        <v>0.12282800000000001</v>
      </c>
      <c r="O4" s="186">
        <v>5.5830400000000003E-4</v>
      </c>
      <c r="P4" s="319">
        <v>-1.2024699999999999E-6</v>
      </c>
      <c r="Q4" s="186">
        <v>1.1474100000000001E-9</v>
      </c>
      <c r="R4" s="319">
        <v>-5.1237699999999997E-13</v>
      </c>
      <c r="S4" s="186">
        <v>8.56597E-17</v>
      </c>
    </row>
    <row r="5" spans="1:19" s="41" customFormat="1" x14ac:dyDescent="0.2">
      <c r="A5" s="317" t="s">
        <v>2</v>
      </c>
      <c r="B5" s="317" t="s">
        <v>3</v>
      </c>
      <c r="C5" s="317">
        <v>1</v>
      </c>
      <c r="D5" s="317"/>
      <c r="E5" s="317">
        <v>2</v>
      </c>
      <c r="F5" s="317"/>
      <c r="G5" s="317"/>
      <c r="H5" s="317">
        <v>44.01</v>
      </c>
      <c r="I5" s="317">
        <v>-393532400</v>
      </c>
      <c r="J5" s="41">
        <v>0</v>
      </c>
      <c r="K5" s="317">
        <f t="shared" si="0"/>
        <v>0</v>
      </c>
      <c r="L5" s="55">
        <f t="shared" si="1"/>
        <v>2869.6864946057772</v>
      </c>
      <c r="M5" s="317">
        <v>535.44600000000003</v>
      </c>
      <c r="N5" s="41">
        <v>1.27867</v>
      </c>
      <c r="O5" s="317">
        <v>-5.4677999999999997E-4</v>
      </c>
      <c r="P5" s="41">
        <v>-2.3822E-7</v>
      </c>
      <c r="Q5" s="317">
        <v>1.892E-10</v>
      </c>
      <c r="S5" s="317"/>
    </row>
    <row r="6" spans="1:19" s="41" customFormat="1" x14ac:dyDescent="0.2">
      <c r="A6" s="317" t="s">
        <v>4</v>
      </c>
      <c r="B6" s="317" t="s">
        <v>5</v>
      </c>
      <c r="C6" s="317"/>
      <c r="D6" s="317">
        <v>2</v>
      </c>
      <c r="E6" s="317">
        <v>1</v>
      </c>
      <c r="F6" s="317"/>
      <c r="G6" s="317"/>
      <c r="H6" s="317">
        <v>18.015000000000001</v>
      </c>
      <c r="I6" s="317">
        <v>-241837900</v>
      </c>
      <c r="J6" s="41">
        <v>0</v>
      </c>
      <c r="K6" s="317">
        <f t="shared" si="0"/>
        <v>44000000</v>
      </c>
      <c r="L6" s="318">
        <f t="shared" si="1"/>
        <v>4728.7834292917651</v>
      </c>
      <c r="M6" s="317">
        <v>1937.8</v>
      </c>
      <c r="N6" s="41">
        <v>-1.1807700000000001</v>
      </c>
      <c r="O6" s="317">
        <v>3.6435700000000001E-3</v>
      </c>
      <c r="P6" s="41">
        <v>-2.8633000000000002E-6</v>
      </c>
      <c r="Q6" s="317">
        <v>7.5957999999999998E-10</v>
      </c>
      <c r="S6" s="317"/>
    </row>
    <row r="7" spans="1:19" s="41" customFormat="1" x14ac:dyDescent="0.2">
      <c r="A7" s="317" t="s">
        <v>67</v>
      </c>
      <c r="B7" s="317" t="s">
        <v>68</v>
      </c>
      <c r="C7" s="317"/>
      <c r="D7" s="317"/>
      <c r="E7" s="317"/>
      <c r="F7" s="317">
        <v>2</v>
      </c>
      <c r="G7" s="317"/>
      <c r="H7" s="317">
        <v>28.013400000000001</v>
      </c>
      <c r="I7" s="317">
        <v>0</v>
      </c>
      <c r="J7" s="41">
        <v>0</v>
      </c>
      <c r="K7" s="317">
        <f t="shared" si="0"/>
        <v>0</v>
      </c>
      <c r="L7" s="55">
        <f t="shared" si="1"/>
        <v>1317.5380966208859</v>
      </c>
      <c r="M7" s="317">
        <v>1027.05</v>
      </c>
      <c r="N7" s="41">
        <v>2.1618200000000001E-2</v>
      </c>
      <c r="O7" s="317">
        <v>1.4864000000000001E-4</v>
      </c>
      <c r="P7" s="41">
        <v>-4.4841999999999999E-8</v>
      </c>
      <c r="Q7" s="317"/>
      <c r="S7" s="317"/>
    </row>
    <row r="8" spans="1:19" s="41" customFormat="1" x14ac:dyDescent="0.2">
      <c r="A8" s="317" t="s">
        <v>6</v>
      </c>
      <c r="B8" s="317" t="s">
        <v>7</v>
      </c>
      <c r="C8" s="317"/>
      <c r="D8" s="317"/>
      <c r="E8" s="317">
        <v>2</v>
      </c>
      <c r="F8" s="317"/>
      <c r="G8" s="317">
        <v>1</v>
      </c>
      <c r="H8" s="317">
        <v>64.064000000000007</v>
      </c>
      <c r="I8" s="317">
        <v>-296861200</v>
      </c>
      <c r="J8" s="41">
        <v>0</v>
      </c>
      <c r="K8" s="317">
        <f t="shared" si="0"/>
        <v>0</v>
      </c>
      <c r="L8" s="55">
        <f t="shared" si="1"/>
        <v>918.43215267417281</v>
      </c>
      <c r="M8" s="317">
        <v>377.46</v>
      </c>
      <c r="N8" s="41">
        <v>1.0449999999999999</v>
      </c>
      <c r="O8" s="317">
        <v>-8.4831000000000001E-4</v>
      </c>
      <c r="P8" s="41">
        <v>3.108E-7</v>
      </c>
      <c r="Q8" s="317">
        <v>-4.1260999999999997E-11</v>
      </c>
      <c r="S8" s="317"/>
    </row>
    <row r="9" spans="1:19" s="41" customFormat="1" x14ac:dyDescent="0.2">
      <c r="A9" s="317" t="s">
        <v>8</v>
      </c>
      <c r="B9" s="317" t="s">
        <v>9</v>
      </c>
      <c r="C9" s="317"/>
      <c r="D9" s="317">
        <v>2</v>
      </c>
      <c r="E9" s="317"/>
      <c r="F9" s="317"/>
      <c r="G9" s="317"/>
      <c r="H9" s="317">
        <v>2.016</v>
      </c>
      <c r="I9" s="317">
        <v>0</v>
      </c>
      <c r="J9" s="41">
        <v>241837900</v>
      </c>
      <c r="K9" s="317">
        <f t="shared" si="0"/>
        <v>285837900</v>
      </c>
      <c r="L9" s="55">
        <f t="shared" si="1"/>
        <v>15062.104131704626</v>
      </c>
      <c r="M9" s="317">
        <v>13321</v>
      </c>
      <c r="N9" s="41">
        <v>5.3533999999999997</v>
      </c>
      <c r="O9" s="317">
        <v>-9.1581000000000006E-3</v>
      </c>
      <c r="P9" s="41">
        <v>7.2402999999999999E-6</v>
      </c>
      <c r="Q9" s="317">
        <v>-1.8034E-9</v>
      </c>
      <c r="S9" s="317"/>
    </row>
    <row r="10" spans="1:19" s="41" customFormat="1" x14ac:dyDescent="0.2">
      <c r="A10" s="317" t="s">
        <v>10</v>
      </c>
      <c r="B10" s="317" t="s">
        <v>11</v>
      </c>
      <c r="C10" s="317">
        <v>1</v>
      </c>
      <c r="D10" s="317">
        <v>4</v>
      </c>
      <c r="E10" s="317"/>
      <c r="F10" s="317"/>
      <c r="G10" s="317"/>
      <c r="H10" s="317">
        <v>16.042999999999999</v>
      </c>
      <c r="I10" s="317">
        <v>-74895180</v>
      </c>
      <c r="J10" s="41">
        <v>802313020</v>
      </c>
      <c r="K10" s="317">
        <f t="shared" si="0"/>
        <v>890313020</v>
      </c>
      <c r="L10" s="55">
        <f t="shared" si="1"/>
        <v>5869.8216062000001</v>
      </c>
      <c r="M10" s="317">
        <v>912.66</v>
      </c>
      <c r="N10" s="41">
        <v>4.6180000000000003</v>
      </c>
      <c r="O10" s="317">
        <v>-1.0721999999999999E-3</v>
      </c>
      <c r="Q10" s="317"/>
      <c r="S10" s="317"/>
    </row>
    <row r="11" spans="1:19" s="41" customFormat="1" x14ac:dyDescent="0.2">
      <c r="A11" s="317" t="s">
        <v>12</v>
      </c>
      <c r="B11" s="317" t="s">
        <v>13</v>
      </c>
      <c r="C11" s="317">
        <v>2</v>
      </c>
      <c r="D11" s="317">
        <v>6</v>
      </c>
      <c r="E11" s="317"/>
      <c r="F11" s="317"/>
      <c r="G11" s="317"/>
      <c r="H11" s="317">
        <v>30.07</v>
      </c>
      <c r="I11" s="317">
        <v>-83863290</v>
      </c>
      <c r="J11" s="41">
        <v>1428715210</v>
      </c>
      <c r="K11" s="317">
        <f t="shared" si="0"/>
        <v>1560715210</v>
      </c>
      <c r="L11" s="55">
        <f t="shared" si="1"/>
        <v>5364.5512543683308</v>
      </c>
      <c r="M11" s="317">
        <v>150.19999999999999</v>
      </c>
      <c r="N11" s="41">
        <v>6.0917000000000003</v>
      </c>
      <c r="O11" s="317">
        <v>-2.5628999999999999E-3</v>
      </c>
      <c r="P11" s="41">
        <v>3.9248999999999999E-7</v>
      </c>
      <c r="Q11" s="317"/>
      <c r="S11" s="317"/>
    </row>
    <row r="12" spans="1:19" s="41" customFormat="1" x14ac:dyDescent="0.2">
      <c r="A12" s="317" t="s">
        <v>14</v>
      </c>
      <c r="B12" s="317" t="s">
        <v>15</v>
      </c>
      <c r="C12" s="317">
        <v>3</v>
      </c>
      <c r="D12" s="317">
        <v>8</v>
      </c>
      <c r="E12" s="317"/>
      <c r="F12" s="317"/>
      <c r="G12" s="317"/>
      <c r="H12" s="317">
        <v>44.097000000000001</v>
      </c>
      <c r="I12" s="317">
        <v>-103860200</v>
      </c>
      <c r="J12" s="41">
        <v>2044088600</v>
      </c>
      <c r="K12" s="317">
        <f t="shared" si="0"/>
        <v>2220088600</v>
      </c>
      <c r="L12" s="55">
        <f t="shared" si="1"/>
        <v>2456.4124084917476</v>
      </c>
      <c r="M12" s="317">
        <v>921.38</v>
      </c>
      <c r="N12" s="41">
        <v>4.3335999999999997</v>
      </c>
      <c r="O12" s="317">
        <v>-4.6783000000000003E-4</v>
      </c>
      <c r="P12" s="41">
        <v>-5.0225000000000004E-7</v>
      </c>
      <c r="Q12" s="317"/>
      <c r="S12" s="317"/>
    </row>
    <row r="13" spans="1:19" s="41" customFormat="1" x14ac:dyDescent="0.2">
      <c r="A13" s="317" t="s">
        <v>16</v>
      </c>
      <c r="B13" s="317" t="s">
        <v>17</v>
      </c>
      <c r="C13" s="317">
        <v>4</v>
      </c>
      <c r="D13" s="317">
        <v>10</v>
      </c>
      <c r="E13" s="317"/>
      <c r="F13" s="317"/>
      <c r="G13" s="317"/>
      <c r="H13" s="317">
        <v>58.124000000000002</v>
      </c>
      <c r="I13" s="317">
        <v>-133225000</v>
      </c>
      <c r="J13" s="41">
        <v>2650094100</v>
      </c>
      <c r="K13" s="317">
        <f t="shared" si="0"/>
        <v>2870094100</v>
      </c>
      <c r="L13" s="55">
        <f t="shared" si="1"/>
        <v>5489.5084638273693</v>
      </c>
      <c r="M13" s="317">
        <v>54.758000000000003</v>
      </c>
      <c r="N13" s="41">
        <v>6.5218999999999996</v>
      </c>
      <c r="O13" s="317">
        <v>-3.3394000000000002E-3</v>
      </c>
      <c r="P13" s="41">
        <v>6.6960999999999997E-7</v>
      </c>
      <c r="Q13" s="317"/>
      <c r="S13" s="317"/>
    </row>
    <row r="14" spans="1:19" s="41" customFormat="1" x14ac:dyDescent="0.2">
      <c r="A14" s="317" t="s">
        <v>18</v>
      </c>
      <c r="B14" s="317" t="s">
        <v>19</v>
      </c>
      <c r="C14" s="317">
        <v>5</v>
      </c>
      <c r="D14" s="317">
        <v>12</v>
      </c>
      <c r="E14" s="317"/>
      <c r="F14" s="317"/>
      <c r="G14" s="317"/>
      <c r="H14" s="317">
        <v>72.150999999999996</v>
      </c>
      <c r="I14" s="317">
        <v>-146357200</v>
      </c>
      <c r="J14" s="41">
        <v>3272332200</v>
      </c>
      <c r="K14" s="317">
        <f t="shared" si="0"/>
        <v>3536332200</v>
      </c>
      <c r="L14" s="55">
        <f t="shared" si="1"/>
        <v>5563.2470726295596</v>
      </c>
      <c r="M14" s="317">
        <v>-23.602</v>
      </c>
      <c r="N14" s="41">
        <v>6.6901999999999999</v>
      </c>
      <c r="O14" s="317">
        <v>-3.5409999999999999E-3</v>
      </c>
      <c r="P14" s="41">
        <v>7.3867999999999999E-7</v>
      </c>
      <c r="Q14" s="317"/>
      <c r="S14" s="317"/>
    </row>
    <row r="15" spans="1:19" s="41" customFormat="1" x14ac:dyDescent="0.2">
      <c r="A15" s="317" t="s">
        <v>20</v>
      </c>
      <c r="B15" s="317" t="s">
        <v>21</v>
      </c>
      <c r="C15" s="317">
        <v>6</v>
      </c>
      <c r="D15" s="317">
        <v>14</v>
      </c>
      <c r="E15" s="317"/>
      <c r="F15" s="317"/>
      <c r="G15" s="317"/>
      <c r="H15" s="317">
        <v>86.179000000000002</v>
      </c>
      <c r="I15" s="317">
        <v>-166977500</v>
      </c>
      <c r="J15" s="41">
        <v>3887082200</v>
      </c>
      <c r="K15" s="317">
        <f t="shared" si="0"/>
        <v>4195082200</v>
      </c>
      <c r="L15" s="55">
        <f t="shared" si="1"/>
        <v>1500</v>
      </c>
      <c r="M15" s="317">
        <v>1500</v>
      </c>
      <c r="O15" s="317"/>
      <c r="Q15" s="317"/>
      <c r="S15" s="317"/>
    </row>
    <row r="16" spans="1:19" s="41" customFormat="1" x14ac:dyDescent="0.2">
      <c r="A16" s="317" t="s">
        <v>22</v>
      </c>
      <c r="B16" s="317" t="s">
        <v>23</v>
      </c>
      <c r="C16" s="317">
        <v>7</v>
      </c>
      <c r="D16" s="317">
        <v>16</v>
      </c>
      <c r="E16" s="317"/>
      <c r="F16" s="317"/>
      <c r="G16" s="317"/>
      <c r="H16" s="317">
        <v>100.206</v>
      </c>
      <c r="I16" s="317">
        <v>-188000000</v>
      </c>
      <c r="J16" s="41">
        <v>4501430000</v>
      </c>
      <c r="K16" s="317">
        <f t="shared" si="0"/>
        <v>4853430000</v>
      </c>
      <c r="L16" s="55">
        <f t="shared" si="1"/>
        <v>1500</v>
      </c>
      <c r="M16" s="317">
        <v>1500</v>
      </c>
      <c r="O16" s="317"/>
      <c r="Q16" s="317"/>
      <c r="S16" s="317"/>
    </row>
    <row r="17" spans="1:19" s="41" customFormat="1" x14ac:dyDescent="0.2">
      <c r="A17" s="317" t="s">
        <v>24</v>
      </c>
      <c r="B17" s="317" t="s">
        <v>25</v>
      </c>
      <c r="C17" s="317">
        <v>8</v>
      </c>
      <c r="D17" s="317">
        <v>18</v>
      </c>
      <c r="E17" s="317"/>
      <c r="F17" s="317"/>
      <c r="G17" s="317"/>
      <c r="H17" s="317">
        <v>114.233</v>
      </c>
      <c r="I17" s="317">
        <v>-209000000</v>
      </c>
      <c r="J17" s="41">
        <v>5115800300</v>
      </c>
      <c r="K17" s="317">
        <f t="shared" si="0"/>
        <v>5511800300</v>
      </c>
      <c r="L17" s="55">
        <f t="shared" si="1"/>
        <v>1500</v>
      </c>
      <c r="M17" s="317">
        <v>1500</v>
      </c>
      <c r="O17" s="317"/>
      <c r="Q17" s="317"/>
      <c r="S17" s="317"/>
    </row>
    <row r="18" spans="1:19" s="41" customFormat="1" x14ac:dyDescent="0.2">
      <c r="A18" s="317" t="s">
        <v>26</v>
      </c>
      <c r="B18" s="317" t="s">
        <v>27</v>
      </c>
      <c r="C18" s="317">
        <v>2</v>
      </c>
      <c r="D18" s="317">
        <v>2</v>
      </c>
      <c r="E18" s="317"/>
      <c r="F18" s="317"/>
      <c r="G18" s="317"/>
      <c r="H18" s="317">
        <v>26.038</v>
      </c>
      <c r="I18" s="317">
        <v>226751000</v>
      </c>
      <c r="J18" s="41">
        <v>1255653700</v>
      </c>
      <c r="K18" s="317">
        <f t="shared" si="0"/>
        <v>1299653700</v>
      </c>
      <c r="L18" s="55">
        <f t="shared" si="1"/>
        <v>1500</v>
      </c>
      <c r="M18" s="317">
        <v>1500</v>
      </c>
      <c r="O18" s="317"/>
      <c r="Q18" s="317"/>
      <c r="S18" s="317"/>
    </row>
    <row r="19" spans="1:19" s="41" customFormat="1" x14ac:dyDescent="0.2">
      <c r="A19" s="317" t="s">
        <v>28</v>
      </c>
      <c r="B19" s="317" t="s">
        <v>29</v>
      </c>
      <c r="C19" s="317">
        <v>2</v>
      </c>
      <c r="D19" s="317">
        <v>4</v>
      </c>
      <c r="E19" s="317"/>
      <c r="F19" s="317"/>
      <c r="G19" s="317"/>
      <c r="H19" s="317">
        <v>28.054000000000002</v>
      </c>
      <c r="I19" s="317">
        <v>52455400</v>
      </c>
      <c r="J19" s="41">
        <v>1323196000</v>
      </c>
      <c r="K19" s="317">
        <f t="shared" si="0"/>
        <v>1411196000</v>
      </c>
      <c r="L19" s="55">
        <f t="shared" si="1"/>
        <v>4705.3756589063487</v>
      </c>
      <c r="M19" s="317">
        <v>153.54</v>
      </c>
      <c r="N19" s="41">
        <v>5.5210999999999997</v>
      </c>
      <c r="O19" s="317">
        <v>-2.9423000000000001E-3</v>
      </c>
      <c r="P19" s="41">
        <v>6.5565999999999998E-7</v>
      </c>
      <c r="Q19" s="317">
        <v>-1.8578000000000001E-11</v>
      </c>
      <c r="S19" s="317"/>
    </row>
    <row r="20" spans="1:19" s="41" customFormat="1" x14ac:dyDescent="0.2">
      <c r="A20" s="317" t="s">
        <v>30</v>
      </c>
      <c r="B20" s="317" t="s">
        <v>31</v>
      </c>
      <c r="C20" s="317">
        <v>3</v>
      </c>
      <c r="D20" s="317">
        <v>6</v>
      </c>
      <c r="E20" s="317"/>
      <c r="F20" s="317"/>
      <c r="G20" s="317"/>
      <c r="H20" s="317">
        <v>42.81</v>
      </c>
      <c r="I20" s="317">
        <v>20444050</v>
      </c>
      <c r="J20" s="41">
        <v>1926554950</v>
      </c>
      <c r="K20" s="317">
        <f t="shared" si="0"/>
        <v>2058554950</v>
      </c>
      <c r="L20" s="55">
        <f t="shared" si="1"/>
        <v>5025.3060762437972</v>
      </c>
      <c r="M20" s="317">
        <v>-30.856999999999999</v>
      </c>
      <c r="N20" s="41">
        <v>5.1127000000000002</v>
      </c>
      <c r="O20" s="317">
        <v>-1.8623999999999999E-3</v>
      </c>
      <c r="P20" s="41">
        <v>-1.8075E-7</v>
      </c>
      <c r="Q20" s="317">
        <v>1.9404999999999999E-10</v>
      </c>
      <c r="S20" s="317"/>
    </row>
    <row r="21" spans="1:19" s="41" customFormat="1" x14ac:dyDescent="0.2">
      <c r="A21" s="317" t="s">
        <v>32</v>
      </c>
      <c r="B21" s="317" t="s">
        <v>33</v>
      </c>
      <c r="C21" s="317">
        <v>4</v>
      </c>
      <c r="D21" s="317">
        <v>8</v>
      </c>
      <c r="E21" s="317"/>
      <c r="F21" s="317"/>
      <c r="G21" s="317"/>
      <c r="H21" s="317">
        <v>56.107999999999997</v>
      </c>
      <c r="I21" s="317">
        <v>-496195.20000049658</v>
      </c>
      <c r="J21" s="41">
        <v>2540985004.7999997</v>
      </c>
      <c r="K21" s="317">
        <f t="shared" si="0"/>
        <v>2716985004.7999997</v>
      </c>
      <c r="L21" s="55">
        <f t="shared" si="1"/>
        <v>1500</v>
      </c>
      <c r="M21" s="317">
        <v>1500</v>
      </c>
      <c r="O21" s="317"/>
      <c r="Q21" s="317"/>
      <c r="S21" s="317"/>
    </row>
    <row r="22" spans="1:19" s="41" customFormat="1" x14ac:dyDescent="0.2">
      <c r="A22" s="317" t="s">
        <v>34</v>
      </c>
      <c r="B22" s="317" t="s">
        <v>35</v>
      </c>
      <c r="C22" s="317">
        <v>5</v>
      </c>
      <c r="D22" s="317">
        <v>10</v>
      </c>
      <c r="E22" s="317"/>
      <c r="F22" s="317"/>
      <c r="G22" s="317"/>
      <c r="H22" s="317">
        <v>70.135000000000005</v>
      </c>
      <c r="I22" s="317">
        <v>-23942579.497908011</v>
      </c>
      <c r="J22" s="41">
        <v>3152908920.5020919</v>
      </c>
      <c r="K22" s="317">
        <f t="shared" si="0"/>
        <v>3372908920.5020919</v>
      </c>
      <c r="L22" s="55">
        <f t="shared" si="1"/>
        <v>1500</v>
      </c>
      <c r="M22" s="317">
        <v>1500</v>
      </c>
      <c r="O22" s="317"/>
      <c r="Q22" s="317"/>
      <c r="S22" s="317"/>
    </row>
    <row r="23" spans="1:19" s="41" customFormat="1" x14ac:dyDescent="0.2">
      <c r="A23" s="317" t="s">
        <v>36</v>
      </c>
      <c r="B23" s="317" t="s">
        <v>37</v>
      </c>
      <c r="C23" s="317">
        <v>6</v>
      </c>
      <c r="D23" s="317">
        <v>12</v>
      </c>
      <c r="E23" s="317"/>
      <c r="F23" s="317"/>
      <c r="G23" s="317"/>
      <c r="H23" s="317">
        <v>84.162999999999997</v>
      </c>
      <c r="I23" s="317">
        <v>-45330288.702929437</v>
      </c>
      <c r="J23" s="41">
        <v>3766891511.2970705</v>
      </c>
      <c r="K23" s="317">
        <f t="shared" si="0"/>
        <v>4030891511.2970705</v>
      </c>
      <c r="L23" s="55">
        <f t="shared" si="1"/>
        <v>1500</v>
      </c>
      <c r="M23" s="317">
        <v>1500</v>
      </c>
      <c r="O23" s="317"/>
      <c r="Q23" s="317"/>
      <c r="S23" s="317"/>
    </row>
    <row r="24" spans="1:19" x14ac:dyDescent="0.2">
      <c r="A24" s="317" t="s">
        <v>38</v>
      </c>
      <c r="B24" s="317" t="s">
        <v>39</v>
      </c>
      <c r="C24" s="317">
        <v>6</v>
      </c>
      <c r="D24" s="317">
        <v>6</v>
      </c>
      <c r="E24" s="317"/>
      <c r="F24" s="317"/>
      <c r="G24" s="317"/>
      <c r="H24" s="317">
        <v>78.114999999999995</v>
      </c>
      <c r="I24" s="317">
        <v>82887890</v>
      </c>
      <c r="J24" s="41">
        <v>3169595990</v>
      </c>
      <c r="K24" s="317">
        <f t="shared" si="0"/>
        <v>3301595990</v>
      </c>
      <c r="L24" s="55">
        <f t="shared" si="1"/>
        <v>1500</v>
      </c>
      <c r="M24" s="317">
        <v>1500</v>
      </c>
      <c r="O24" s="317"/>
      <c r="Q24" s="317"/>
      <c r="S24" s="317"/>
    </row>
    <row r="25" spans="1:19" x14ac:dyDescent="0.2">
      <c r="A25" s="317" t="s">
        <v>40</v>
      </c>
      <c r="B25" s="317" t="s">
        <v>41</v>
      </c>
      <c r="C25" s="317">
        <v>7</v>
      </c>
      <c r="D25" s="317">
        <v>8</v>
      </c>
      <c r="E25" s="317"/>
      <c r="F25" s="317"/>
      <c r="G25" s="317"/>
      <c r="H25" s="317">
        <v>92.141999999999996</v>
      </c>
      <c r="I25" s="317">
        <v>79649191.200000271</v>
      </c>
      <c r="J25" s="41">
        <v>3801727591.2000003</v>
      </c>
      <c r="K25" s="317">
        <f t="shared" si="0"/>
        <v>3977727591.2000003</v>
      </c>
      <c r="L25" s="55">
        <f t="shared" si="1"/>
        <v>1500</v>
      </c>
      <c r="M25" s="317">
        <v>1500</v>
      </c>
      <c r="O25" s="317"/>
      <c r="Q25" s="317"/>
      <c r="S25" s="317"/>
    </row>
    <row r="26" spans="1:19" x14ac:dyDescent="0.2">
      <c r="A26" s="317" t="s">
        <v>42</v>
      </c>
      <c r="B26" s="317" t="s">
        <v>43</v>
      </c>
      <c r="C26" s="317">
        <v>1</v>
      </c>
      <c r="D26" s="317"/>
      <c r="E26" s="317">
        <v>1</v>
      </c>
      <c r="F26" s="317"/>
      <c r="G26" s="317"/>
      <c r="H26" s="317">
        <v>28.010999999999999</v>
      </c>
      <c r="I26" s="317">
        <v>-110539600</v>
      </c>
      <c r="J26" s="41">
        <v>282992800</v>
      </c>
      <c r="K26" s="317">
        <f t="shared" si="0"/>
        <v>282992800</v>
      </c>
      <c r="L26" s="55">
        <f t="shared" si="1"/>
        <v>1292.2262288134893</v>
      </c>
      <c r="M26" s="317">
        <v>1046.69</v>
      </c>
      <c r="N26" s="41">
        <v>-0.15684100000000001</v>
      </c>
      <c r="O26" s="317">
        <v>5.3989999999999995E-4</v>
      </c>
      <c r="P26" s="41">
        <v>-3.0106000000000002E-7</v>
      </c>
      <c r="Q26" s="317">
        <v>5.0504999999999998E-11</v>
      </c>
      <c r="S26" s="317"/>
    </row>
    <row r="27" spans="1:19" x14ac:dyDescent="0.2">
      <c r="A27" s="314" t="s">
        <v>44</v>
      </c>
      <c r="B27" s="314" t="s">
        <v>45</v>
      </c>
      <c r="C27" s="314"/>
      <c r="D27" s="314">
        <v>2</v>
      </c>
      <c r="E27" s="314"/>
      <c r="F27" s="314"/>
      <c r="G27" s="314">
        <v>1</v>
      </c>
      <c r="H27" s="314">
        <v>34.082000000000001</v>
      </c>
      <c r="I27" s="314">
        <v>-20506430</v>
      </c>
      <c r="J27" s="315">
        <v>518192670</v>
      </c>
      <c r="K27" s="314">
        <f t="shared" si="0"/>
        <v>562192670</v>
      </c>
      <c r="L27" s="316">
        <f t="shared" si="1"/>
        <v>2121.8866745842925</v>
      </c>
      <c r="M27" s="314">
        <v>997.68</v>
      </c>
      <c r="N27" s="315">
        <v>-0.38524000000000003</v>
      </c>
      <c r="O27" s="314">
        <v>1.6477E-3</v>
      </c>
      <c r="P27" s="315">
        <v>-1.2203E-6</v>
      </c>
      <c r="Q27" s="314">
        <v>2.9286999999999999E-10</v>
      </c>
      <c r="R27" s="315"/>
      <c r="S27" s="314"/>
    </row>
  </sheetData>
  <mergeCells count="1">
    <mergeCell ref="M2:O2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76CB0-93F0-4399-92EB-9D75CFFBBD2D}">
  <sheetPr codeName="Feuil23"/>
  <dimension ref="A1:Y124"/>
  <sheetViews>
    <sheetView workbookViewId="0">
      <selection activeCell="D34" sqref="D34"/>
    </sheetView>
  </sheetViews>
  <sheetFormatPr baseColWidth="10" defaultColWidth="11.42578125" defaultRowHeight="12.75" x14ac:dyDescent="0.2"/>
  <cols>
    <col min="1" max="16384" width="11.42578125" style="41"/>
  </cols>
  <sheetData>
    <row r="1" spans="1:25" x14ac:dyDescent="0.2">
      <c r="A1" s="325" t="s">
        <v>653</v>
      </c>
    </row>
    <row r="2" spans="1:25" x14ac:dyDescent="0.2">
      <c r="A2" s="41">
        <v>5</v>
      </c>
      <c r="B2" s="41">
        <v>227</v>
      </c>
      <c r="C2" s="41">
        <v>283</v>
      </c>
      <c r="D2" s="41">
        <v>394</v>
      </c>
      <c r="E2" s="41">
        <v>450</v>
      </c>
      <c r="F2" s="41">
        <v>505</v>
      </c>
      <c r="G2" s="41">
        <v>561</v>
      </c>
      <c r="H2" s="41">
        <v>617</v>
      </c>
      <c r="I2" s="41">
        <v>672</v>
      </c>
      <c r="J2" s="41">
        <v>728</v>
      </c>
      <c r="K2" s="41">
        <v>783</v>
      </c>
      <c r="L2" s="41">
        <v>839</v>
      </c>
      <c r="M2" s="41">
        <v>895</v>
      </c>
      <c r="N2" s="41">
        <v>950</v>
      </c>
      <c r="O2" s="41">
        <v>1117</v>
      </c>
      <c r="P2" s="41">
        <v>1256</v>
      </c>
      <c r="Q2" s="41">
        <v>1395</v>
      </c>
      <c r="R2" s="41">
        <v>1534</v>
      </c>
      <c r="S2" s="41">
        <v>1673</v>
      </c>
      <c r="T2" s="41">
        <v>1812</v>
      </c>
      <c r="U2" s="41">
        <v>1951</v>
      </c>
      <c r="V2" s="41">
        <v>2090</v>
      </c>
      <c r="W2" s="41">
        <v>2229</v>
      </c>
      <c r="X2" s="41">
        <v>2368</v>
      </c>
      <c r="Y2" s="41">
        <v>2507</v>
      </c>
    </row>
    <row r="4" spans="1:25" x14ac:dyDescent="0.2">
      <c r="A4" s="325" t="s">
        <v>652</v>
      </c>
    </row>
    <row r="5" spans="1:25" x14ac:dyDescent="0.2">
      <c r="A5" s="41">
        <v>0</v>
      </c>
      <c r="B5" s="41">
        <v>6.1000000000000004E-3</v>
      </c>
      <c r="C5" s="41">
        <v>9.1000000000000004E-3</v>
      </c>
      <c r="D5" s="41">
        <v>1.2E-2</v>
      </c>
      <c r="E5" s="41">
        <v>1.7999999999999999E-2</v>
      </c>
      <c r="F5" s="41">
        <v>2.4E-2</v>
      </c>
      <c r="G5" s="41">
        <v>3.0499999999999999E-2</v>
      </c>
      <c r="H5" s="41">
        <v>4.5999999999999999E-2</v>
      </c>
      <c r="I5" s="41">
        <v>6.0999999999999999E-2</v>
      </c>
      <c r="J5" s="41">
        <v>9.0999999999999998E-2</v>
      </c>
      <c r="K5" s="41">
        <v>0.12</v>
      </c>
      <c r="L5" s="41">
        <v>0.18</v>
      </c>
      <c r="M5" s="41">
        <v>0.24</v>
      </c>
      <c r="N5" s="41">
        <v>0.30499999999999999</v>
      </c>
      <c r="O5" s="41">
        <v>0.46</v>
      </c>
      <c r="P5" s="41">
        <v>0.61</v>
      </c>
      <c r="Q5" s="41">
        <v>0.91500000000000004</v>
      </c>
      <c r="R5" s="41">
        <v>1.52</v>
      </c>
    </row>
    <row r="7" spans="1:25" x14ac:dyDescent="0.2">
      <c r="A7" s="325" t="s">
        <v>651</v>
      </c>
    </row>
    <row r="8" spans="1:25" x14ac:dyDescent="0.2">
      <c r="A8" s="41">
        <v>0</v>
      </c>
      <c r="B8" s="41">
        <v>0.05</v>
      </c>
      <c r="C8" s="41">
        <v>5.7000000000000002E-2</v>
      </c>
      <c r="D8" s="41">
        <v>6.5000000000000002E-2</v>
      </c>
      <c r="E8" s="41">
        <v>7.2999999999999995E-2</v>
      </c>
      <c r="F8" s="41">
        <v>8.2000000000000003E-2</v>
      </c>
      <c r="G8" s="41">
        <v>8.7999999999999995E-2</v>
      </c>
      <c r="H8" s="41">
        <v>9.8000000000000004E-2</v>
      </c>
      <c r="I8" s="41">
        <v>0.108</v>
      </c>
      <c r="J8" s="41">
        <v>0.12</v>
      </c>
      <c r="K8" s="41">
        <v>0.13</v>
      </c>
      <c r="L8" s="41">
        <v>0.13900000000000001</v>
      </c>
      <c r="M8" s="41">
        <v>0.14799999999999999</v>
      </c>
      <c r="N8" s="41">
        <v>0.155</v>
      </c>
      <c r="O8" s="41">
        <v>0.16500000000000001</v>
      </c>
      <c r="P8" s="41">
        <v>0.17299999999999999</v>
      </c>
      <c r="Q8" s="41">
        <v>0.185</v>
      </c>
      <c r="R8" s="41">
        <v>0.2</v>
      </c>
    </row>
    <row r="9" spans="1:25" x14ac:dyDescent="0.2">
      <c r="A9" s="41">
        <v>0</v>
      </c>
      <c r="B9" s="41">
        <v>3.7999999999999999E-2</v>
      </c>
      <c r="C9" s="41">
        <v>4.4999999999999998E-2</v>
      </c>
      <c r="D9" s="41">
        <v>0.05</v>
      </c>
      <c r="E9" s="41">
        <v>5.8999999999999997E-2</v>
      </c>
      <c r="F9" s="41">
        <v>6.4000000000000001E-2</v>
      </c>
      <c r="G9" s="41">
        <v>6.9000000000000006E-2</v>
      </c>
      <c r="H9" s="41">
        <v>7.8E-2</v>
      </c>
      <c r="I9" s="41">
        <v>8.5000000000000006E-2</v>
      </c>
      <c r="J9" s="41">
        <v>9.5000000000000001E-2</v>
      </c>
      <c r="K9" s="41">
        <v>0.105</v>
      </c>
      <c r="L9" s="41">
        <v>0.115</v>
      </c>
      <c r="M9" s="41">
        <v>0.123</v>
      </c>
      <c r="N9" s="41">
        <v>0.129</v>
      </c>
      <c r="O9" s="41">
        <v>0.14000000000000001</v>
      </c>
      <c r="P9" s="41">
        <v>0.15</v>
      </c>
      <c r="Q9" s="41">
        <v>0.16</v>
      </c>
      <c r="R9" s="41">
        <v>0.17499999999999999</v>
      </c>
    </row>
    <row r="10" spans="1:25" x14ac:dyDescent="0.2">
      <c r="A10" s="41">
        <v>0</v>
      </c>
      <c r="B10" s="41">
        <v>3.9E-2</v>
      </c>
      <c r="C10" s="41">
        <v>4.5999999999999999E-2</v>
      </c>
      <c r="D10" s="41">
        <v>5.0999999999999997E-2</v>
      </c>
      <c r="E10" s="41">
        <v>0.06</v>
      </c>
      <c r="F10" s="41">
        <v>6.5000000000000002E-2</v>
      </c>
      <c r="G10" s="41">
        <v>7.0000000000000007E-2</v>
      </c>
      <c r="H10" s="41">
        <v>0.08</v>
      </c>
      <c r="I10" s="41">
        <v>8.5999999999999993E-2</v>
      </c>
      <c r="J10" s="41">
        <v>9.6000000000000002E-2</v>
      </c>
      <c r="K10" s="41">
        <v>0.104</v>
      </c>
      <c r="L10" s="41">
        <v>0.114</v>
      </c>
      <c r="M10" s="41">
        <v>0.122</v>
      </c>
      <c r="N10" s="41">
        <v>0.13</v>
      </c>
      <c r="O10" s="41">
        <v>0.14199999999999999</v>
      </c>
      <c r="P10" s="41">
        <v>0.151</v>
      </c>
      <c r="Q10" s="41">
        <v>0.16200000000000001</v>
      </c>
      <c r="R10" s="41">
        <v>0.17699999999999999</v>
      </c>
    </row>
    <row r="11" spans="1:25" x14ac:dyDescent="0.2">
      <c r="A11" s="41">
        <v>0</v>
      </c>
      <c r="B11" s="41">
        <v>0.04</v>
      </c>
      <c r="C11" s="41">
        <v>4.8000000000000001E-2</v>
      </c>
      <c r="D11" s="41">
        <v>5.3999999999999999E-2</v>
      </c>
      <c r="E11" s="41">
        <v>6.2E-2</v>
      </c>
      <c r="F11" s="41">
        <v>6.9000000000000006E-2</v>
      </c>
      <c r="G11" s="41">
        <v>7.2999999999999995E-2</v>
      </c>
      <c r="H11" s="41">
        <v>8.3000000000000004E-2</v>
      </c>
      <c r="I11" s="41">
        <v>0.09</v>
      </c>
      <c r="J11" s="41">
        <v>0.1</v>
      </c>
      <c r="K11" s="41">
        <v>0.107</v>
      </c>
      <c r="L11" s="41">
        <v>0.11799999999999999</v>
      </c>
      <c r="M11" s="41">
        <v>0.126</v>
      </c>
      <c r="N11" s="41">
        <v>0.13400000000000001</v>
      </c>
      <c r="O11" s="41">
        <v>0.14799999999999999</v>
      </c>
      <c r="P11" s="41">
        <v>0.158</v>
      </c>
      <c r="Q11" s="41">
        <v>0.16900000000000001</v>
      </c>
      <c r="R11" s="41">
        <v>0.185</v>
      </c>
    </row>
    <row r="12" spans="1:25" x14ac:dyDescent="0.2">
      <c r="A12" s="41">
        <v>0</v>
      </c>
      <c r="B12" s="41">
        <v>4.1000000000000002E-2</v>
      </c>
      <c r="C12" s="41">
        <v>4.9000000000000002E-2</v>
      </c>
      <c r="D12" s="41">
        <v>5.5E-2</v>
      </c>
      <c r="E12" s="41">
        <v>6.4000000000000001E-2</v>
      </c>
      <c r="F12" s="41">
        <v>7.0000000000000007E-2</v>
      </c>
      <c r="G12" s="41">
        <v>7.4999999999999997E-2</v>
      </c>
      <c r="H12" s="41">
        <v>8.5000000000000006E-2</v>
      </c>
      <c r="I12" s="41">
        <v>9.1999999999999998E-2</v>
      </c>
      <c r="J12" s="41">
        <v>0.10199999999999999</v>
      </c>
      <c r="K12" s="41">
        <v>0.11</v>
      </c>
      <c r="L12" s="41">
        <v>0.121</v>
      </c>
      <c r="M12" s="41">
        <v>0.13</v>
      </c>
      <c r="N12" s="41">
        <v>0.13700000000000001</v>
      </c>
      <c r="O12" s="41">
        <v>0.151</v>
      </c>
      <c r="P12" s="41">
        <v>0.16300000000000001</v>
      </c>
      <c r="Q12" s="41">
        <v>0.17399999999999999</v>
      </c>
      <c r="R12" s="41">
        <v>0.191</v>
      </c>
    </row>
    <row r="13" spans="1:25" x14ac:dyDescent="0.2">
      <c r="A13" s="41">
        <v>0</v>
      </c>
      <c r="B13" s="41">
        <v>4.2000000000000003E-2</v>
      </c>
      <c r="C13" s="41">
        <v>0.05</v>
      </c>
      <c r="D13" s="41">
        <v>5.6000000000000001E-2</v>
      </c>
      <c r="E13" s="41">
        <v>6.6000000000000003E-2</v>
      </c>
      <c r="F13" s="41">
        <v>7.1999999999999995E-2</v>
      </c>
      <c r="G13" s="41">
        <v>7.6999999999999999E-2</v>
      </c>
      <c r="H13" s="41">
        <v>8.6999999999999994E-2</v>
      </c>
      <c r="I13" s="41">
        <v>9.4E-2</v>
      </c>
      <c r="J13" s="41">
        <v>0.105</v>
      </c>
      <c r="K13" s="41">
        <v>0.112</v>
      </c>
      <c r="L13" s="41">
        <v>0.124</v>
      </c>
      <c r="M13" s="41">
        <v>0.13300000000000001</v>
      </c>
      <c r="N13" s="41">
        <v>0.14000000000000001</v>
      </c>
      <c r="O13" s="41">
        <v>0.155</v>
      </c>
      <c r="P13" s="41">
        <v>0.16800000000000001</v>
      </c>
      <c r="Q13" s="41">
        <v>0.18</v>
      </c>
      <c r="R13" s="41">
        <v>0.19700000000000001</v>
      </c>
    </row>
    <row r="14" spans="1:25" x14ac:dyDescent="0.2">
      <c r="A14" s="41">
        <v>0</v>
      </c>
      <c r="B14" s="41">
        <v>4.2999999999999997E-2</v>
      </c>
      <c r="C14" s="41">
        <v>5.0999999999999997E-2</v>
      </c>
      <c r="D14" s="41">
        <v>5.7000000000000002E-2</v>
      </c>
      <c r="E14" s="41">
        <v>6.7000000000000004E-2</v>
      </c>
      <c r="F14" s="41">
        <v>7.2999999999999995E-2</v>
      </c>
      <c r="G14" s="41">
        <v>7.8E-2</v>
      </c>
      <c r="H14" s="41">
        <v>8.7999999999999995E-2</v>
      </c>
      <c r="I14" s="41">
        <v>9.6000000000000002E-2</v>
      </c>
      <c r="J14" s="41">
        <v>0.107</v>
      </c>
      <c r="K14" s="41">
        <v>0.115</v>
      </c>
      <c r="L14" s="41">
        <v>0.127</v>
      </c>
      <c r="M14" s="41">
        <v>0.13600000000000001</v>
      </c>
      <c r="N14" s="41">
        <v>0.14399999999999999</v>
      </c>
      <c r="O14" s="41">
        <v>0.16</v>
      </c>
      <c r="P14" s="41">
        <v>0.17199999999999999</v>
      </c>
      <c r="Q14" s="41">
        <v>0.185</v>
      </c>
      <c r="R14" s="41">
        <v>0.20300000000000001</v>
      </c>
    </row>
    <row r="15" spans="1:25" x14ac:dyDescent="0.2">
      <c r="A15" s="41">
        <v>0</v>
      </c>
      <c r="B15" s="41">
        <v>4.3999999999999997E-2</v>
      </c>
      <c r="C15" s="41">
        <v>5.1999999999999998E-2</v>
      </c>
      <c r="D15" s="41">
        <v>5.8000000000000003E-2</v>
      </c>
      <c r="E15" s="41">
        <v>6.8000000000000005E-2</v>
      </c>
      <c r="F15" s="41">
        <v>7.3999999999999996E-2</v>
      </c>
      <c r="G15" s="41">
        <v>7.9000000000000001E-2</v>
      </c>
      <c r="H15" s="41">
        <v>8.8999999999999996E-2</v>
      </c>
      <c r="I15" s="41">
        <v>9.8000000000000004E-2</v>
      </c>
      <c r="J15" s="41">
        <v>0.109</v>
      </c>
      <c r="K15" s="41">
        <v>0.11700000000000001</v>
      </c>
      <c r="L15" s="41">
        <v>0.13</v>
      </c>
      <c r="M15" s="41">
        <v>0.13900000000000001</v>
      </c>
      <c r="N15" s="41">
        <v>0.14699999999999999</v>
      </c>
      <c r="O15" s="41">
        <v>0.16400000000000001</v>
      </c>
      <c r="P15" s="41">
        <v>0.17599999999999999</v>
      </c>
      <c r="Q15" s="41">
        <v>0.19</v>
      </c>
      <c r="R15" s="41">
        <v>0.21</v>
      </c>
    </row>
    <row r="16" spans="1:25" x14ac:dyDescent="0.2">
      <c r="A16" s="41">
        <v>0</v>
      </c>
      <c r="B16" s="41">
        <v>4.2000000000000003E-2</v>
      </c>
      <c r="C16" s="41">
        <v>5.0999999999999997E-2</v>
      </c>
      <c r="D16" s="41">
        <v>5.7000000000000002E-2</v>
      </c>
      <c r="E16" s="41">
        <v>6.7000000000000004E-2</v>
      </c>
      <c r="F16" s="41">
        <v>7.4999999999999997E-2</v>
      </c>
      <c r="G16" s="41">
        <v>0.08</v>
      </c>
      <c r="H16" s="41">
        <v>0.09</v>
      </c>
      <c r="I16" s="41">
        <v>9.9000000000000005E-2</v>
      </c>
      <c r="J16" s="41">
        <v>0.11</v>
      </c>
      <c r="K16" s="41">
        <v>0.11899999999999999</v>
      </c>
      <c r="L16" s="41">
        <v>0.13100000000000001</v>
      </c>
      <c r="M16" s="41">
        <v>0.14000000000000001</v>
      </c>
      <c r="N16" s="41">
        <v>0.15</v>
      </c>
      <c r="O16" s="41">
        <v>0.16600000000000001</v>
      </c>
      <c r="P16" s="41">
        <v>0.17899999999999999</v>
      </c>
      <c r="Q16" s="41">
        <v>0.19400000000000001</v>
      </c>
      <c r="R16" s="41">
        <v>0.214</v>
      </c>
    </row>
    <row r="17" spans="1:18" x14ac:dyDescent="0.2">
      <c r="A17" s="41">
        <v>0</v>
      </c>
      <c r="B17" s="41">
        <v>4.1000000000000002E-2</v>
      </c>
      <c r="C17" s="41">
        <v>0.05</v>
      </c>
      <c r="D17" s="41">
        <v>5.6000000000000001E-2</v>
      </c>
      <c r="E17" s="41">
        <v>6.6000000000000003E-2</v>
      </c>
      <c r="F17" s="41">
        <v>7.2999999999999995E-2</v>
      </c>
      <c r="G17" s="41">
        <v>7.9000000000000001E-2</v>
      </c>
      <c r="H17" s="41">
        <v>8.8999999999999996E-2</v>
      </c>
      <c r="I17" s="41">
        <v>9.8000000000000004E-2</v>
      </c>
      <c r="J17" s="41">
        <v>0.109</v>
      </c>
      <c r="K17" s="41">
        <v>0.12</v>
      </c>
      <c r="L17" s="41">
        <v>0.13200000000000001</v>
      </c>
      <c r="M17" s="41">
        <v>0.14099999999999999</v>
      </c>
      <c r="N17" s="41">
        <v>0.152</v>
      </c>
      <c r="O17" s="41">
        <v>0.16900000000000001</v>
      </c>
      <c r="P17" s="41">
        <v>0.18099999999999999</v>
      </c>
      <c r="Q17" s="41">
        <v>0.19800000000000001</v>
      </c>
      <c r="R17" s="41">
        <v>0.22</v>
      </c>
    </row>
    <row r="18" spans="1:18" x14ac:dyDescent="0.2">
      <c r="A18" s="41">
        <v>0</v>
      </c>
      <c r="B18" s="41">
        <v>0.04</v>
      </c>
      <c r="C18" s="41">
        <v>4.9000000000000002E-2</v>
      </c>
      <c r="D18" s="41">
        <v>5.5E-2</v>
      </c>
      <c r="E18" s="41">
        <v>6.5000000000000002E-2</v>
      </c>
      <c r="F18" s="41">
        <v>7.1999999999999995E-2</v>
      </c>
      <c r="G18" s="41">
        <v>7.8E-2</v>
      </c>
      <c r="H18" s="41">
        <v>8.7999999999999995E-2</v>
      </c>
      <c r="I18" s="41">
        <v>9.6000000000000002E-2</v>
      </c>
      <c r="J18" s="41">
        <v>0.108</v>
      </c>
      <c r="K18" s="41">
        <v>0.11899999999999999</v>
      </c>
      <c r="L18" s="41">
        <v>0.13300000000000001</v>
      </c>
      <c r="M18" s="41">
        <v>0.14199999999999999</v>
      </c>
      <c r="N18" s="41">
        <v>0.153</v>
      </c>
      <c r="O18" s="41">
        <v>0.17</v>
      </c>
      <c r="P18" s="41">
        <v>0.182</v>
      </c>
      <c r="Q18" s="41">
        <v>0.2</v>
      </c>
      <c r="R18" s="41">
        <v>0.223</v>
      </c>
    </row>
    <row r="19" spans="1:18" x14ac:dyDescent="0.2">
      <c r="A19" s="41">
        <v>0</v>
      </c>
      <c r="B19" s="41">
        <v>3.9E-2</v>
      </c>
      <c r="C19" s="41">
        <v>4.8000000000000001E-2</v>
      </c>
      <c r="D19" s="41">
        <v>5.3999999999999999E-2</v>
      </c>
      <c r="E19" s="41">
        <v>6.4000000000000001E-2</v>
      </c>
      <c r="F19" s="41">
        <v>7.0000000000000007E-2</v>
      </c>
      <c r="G19" s="41">
        <v>7.5999999999999998E-2</v>
      </c>
      <c r="H19" s="41">
        <v>8.6999999999999994E-2</v>
      </c>
      <c r="I19" s="41">
        <v>9.5000000000000001E-2</v>
      </c>
      <c r="J19" s="41">
        <v>0.107</v>
      </c>
      <c r="K19" s="41">
        <v>0.11799999999999999</v>
      </c>
      <c r="L19" s="41">
        <v>0.13200000000000001</v>
      </c>
      <c r="M19" s="41">
        <v>0.14099999999999999</v>
      </c>
      <c r="N19" s="41">
        <v>0.152</v>
      </c>
      <c r="O19" s="41">
        <v>0.16900000000000001</v>
      </c>
      <c r="P19" s="41">
        <v>0.18099999999999999</v>
      </c>
      <c r="Q19" s="41">
        <v>0.20300000000000001</v>
      </c>
      <c r="R19" s="41">
        <v>0.22500000000000001</v>
      </c>
    </row>
    <row r="20" spans="1:18" x14ac:dyDescent="0.2">
      <c r="A20" s="41">
        <v>0</v>
      </c>
      <c r="B20" s="41">
        <v>3.7999999999999999E-2</v>
      </c>
      <c r="C20" s="41">
        <v>4.5999999999999999E-2</v>
      </c>
      <c r="D20" s="41">
        <v>5.1999999999999998E-2</v>
      </c>
      <c r="E20" s="41">
        <v>6.2E-2</v>
      </c>
      <c r="F20" s="41">
        <v>6.8000000000000005E-2</v>
      </c>
      <c r="G20" s="41">
        <v>7.3999999999999996E-2</v>
      </c>
      <c r="H20" s="41">
        <v>8.4000000000000005E-2</v>
      </c>
      <c r="I20" s="41">
        <v>9.1999999999999998E-2</v>
      </c>
      <c r="J20" s="41">
        <v>0.105</v>
      </c>
      <c r="K20" s="41">
        <v>0.115</v>
      </c>
      <c r="L20" s="41">
        <v>0.13</v>
      </c>
      <c r="M20" s="41">
        <v>0.14000000000000001</v>
      </c>
      <c r="N20" s="41">
        <v>0.15</v>
      </c>
      <c r="O20" s="41">
        <v>0.16700000000000001</v>
      </c>
      <c r="P20" s="41">
        <v>0.18</v>
      </c>
      <c r="Q20" s="41">
        <v>0.20200000000000001</v>
      </c>
      <c r="R20" s="41">
        <v>0.22600000000000001</v>
      </c>
    </row>
    <row r="21" spans="1:18" x14ac:dyDescent="0.2">
      <c r="A21" s="41">
        <v>0</v>
      </c>
      <c r="B21" s="41">
        <v>3.5999999999999997E-2</v>
      </c>
      <c r="C21" s="41">
        <v>4.3999999999999997E-2</v>
      </c>
      <c r="D21" s="41">
        <v>0.05</v>
      </c>
      <c r="E21" s="41">
        <v>5.8999999999999997E-2</v>
      </c>
      <c r="F21" s="41">
        <v>6.5000000000000002E-2</v>
      </c>
      <c r="G21" s="41">
        <v>7.0999999999999994E-2</v>
      </c>
      <c r="H21" s="41">
        <v>8.1000000000000003E-2</v>
      </c>
      <c r="I21" s="41">
        <v>8.8999999999999996E-2</v>
      </c>
      <c r="J21" s="41">
        <v>0.10199999999999999</v>
      </c>
      <c r="K21" s="41">
        <v>0.112</v>
      </c>
      <c r="L21" s="41">
        <v>0.127</v>
      </c>
      <c r="M21" s="41">
        <v>0.13900000000000001</v>
      </c>
      <c r="N21" s="41">
        <v>0.14799999999999999</v>
      </c>
      <c r="O21" s="41">
        <v>0.16500000000000001</v>
      </c>
      <c r="P21" s="41">
        <v>0.17899999999999999</v>
      </c>
      <c r="Q21" s="41">
        <v>0.19900000000000001</v>
      </c>
      <c r="R21" s="41">
        <v>0.22500000000000001</v>
      </c>
    </row>
    <row r="22" spans="1:18" x14ac:dyDescent="0.2">
      <c r="A22" s="41">
        <v>0</v>
      </c>
      <c r="B22" s="41">
        <v>3.1E-2</v>
      </c>
      <c r="C22" s="41">
        <v>3.7999999999999999E-2</v>
      </c>
      <c r="D22" s="41">
        <v>4.2999999999999997E-2</v>
      </c>
      <c r="E22" s="41">
        <v>5.1999999999999998E-2</v>
      </c>
      <c r="F22" s="41">
        <v>5.8000000000000003E-2</v>
      </c>
      <c r="G22" s="41">
        <v>6.3E-2</v>
      </c>
      <c r="H22" s="41">
        <v>7.1999999999999995E-2</v>
      </c>
      <c r="I22" s="41">
        <v>0.08</v>
      </c>
      <c r="J22" s="41">
        <v>9.1999999999999998E-2</v>
      </c>
      <c r="K22" s="41">
        <v>0.10199999999999999</v>
      </c>
      <c r="L22" s="41">
        <v>0.11700000000000001</v>
      </c>
      <c r="M22" s="41">
        <v>0.129</v>
      </c>
      <c r="N22" s="41">
        <v>0.13800000000000001</v>
      </c>
      <c r="O22" s="41">
        <v>0.155</v>
      </c>
      <c r="P22" s="41">
        <v>0.16800000000000001</v>
      </c>
      <c r="Q22" s="41">
        <v>0.188</v>
      </c>
      <c r="R22" s="41">
        <v>0.217</v>
      </c>
    </row>
    <row r="23" spans="1:18" x14ac:dyDescent="0.2">
      <c r="A23" s="41">
        <v>0</v>
      </c>
      <c r="B23" s="41">
        <v>2.7E-2</v>
      </c>
      <c r="C23" s="41">
        <v>3.3000000000000002E-2</v>
      </c>
      <c r="D23" s="41">
        <v>3.7999999999999999E-2</v>
      </c>
      <c r="E23" s="41">
        <v>4.4999999999999998E-2</v>
      </c>
      <c r="F23" s="41">
        <v>5.0999999999999997E-2</v>
      </c>
      <c r="G23" s="41">
        <v>5.6000000000000001E-2</v>
      </c>
      <c r="H23" s="41">
        <v>6.4000000000000001E-2</v>
      </c>
      <c r="I23" s="41">
        <v>7.1999999999999995E-2</v>
      </c>
      <c r="J23" s="41">
        <v>8.4000000000000005E-2</v>
      </c>
      <c r="K23" s="41">
        <v>9.1999999999999998E-2</v>
      </c>
      <c r="L23" s="41">
        <v>0.107</v>
      </c>
      <c r="M23" s="41">
        <v>0.11700000000000001</v>
      </c>
      <c r="N23" s="41">
        <v>0.128</v>
      </c>
      <c r="O23" s="41">
        <v>0.14299999999999999</v>
      </c>
      <c r="P23" s="41">
        <v>0.155</v>
      </c>
      <c r="Q23" s="41">
        <v>0.17499999999999999</v>
      </c>
      <c r="R23" s="41">
        <v>0.20200000000000001</v>
      </c>
    </row>
    <row r="24" spans="1:18" x14ac:dyDescent="0.2">
      <c r="A24" s="41">
        <v>0</v>
      </c>
      <c r="B24" s="41">
        <v>2.3E-2</v>
      </c>
      <c r="C24" s="41">
        <v>2.9000000000000001E-2</v>
      </c>
      <c r="D24" s="41">
        <v>3.3000000000000002E-2</v>
      </c>
      <c r="E24" s="41">
        <v>0.04</v>
      </c>
      <c r="F24" s="41">
        <v>4.4999999999999998E-2</v>
      </c>
      <c r="G24" s="41">
        <v>0.05</v>
      </c>
      <c r="H24" s="41">
        <v>5.7000000000000002E-2</v>
      </c>
      <c r="I24" s="41">
        <v>6.5000000000000002E-2</v>
      </c>
      <c r="J24" s="41">
        <v>7.5999999999999998E-2</v>
      </c>
      <c r="K24" s="41">
        <v>8.3000000000000004E-2</v>
      </c>
      <c r="L24" s="41">
        <v>9.7000000000000003E-2</v>
      </c>
      <c r="M24" s="41">
        <v>0.107</v>
      </c>
      <c r="N24" s="41">
        <v>0.11700000000000001</v>
      </c>
      <c r="O24" s="41">
        <v>0.13200000000000001</v>
      </c>
      <c r="P24" s="41">
        <v>0.14299999999999999</v>
      </c>
      <c r="Q24" s="41">
        <v>0.16200000000000001</v>
      </c>
      <c r="R24" s="41">
        <v>0.187</v>
      </c>
    </row>
    <row r="25" spans="1:18" x14ac:dyDescent="0.2">
      <c r="A25" s="41">
        <v>0</v>
      </c>
      <c r="B25" s="41">
        <v>0.02</v>
      </c>
      <c r="C25" s="41">
        <v>2.5000000000000001E-2</v>
      </c>
      <c r="D25" s="41">
        <v>2.9000000000000001E-2</v>
      </c>
      <c r="E25" s="41">
        <v>3.5000000000000003E-2</v>
      </c>
      <c r="F25" s="41">
        <v>0.04</v>
      </c>
      <c r="G25" s="41">
        <v>4.3999999999999997E-2</v>
      </c>
      <c r="H25" s="41">
        <v>5.0999999999999997E-2</v>
      </c>
      <c r="I25" s="41">
        <v>5.8000000000000003E-2</v>
      </c>
      <c r="J25" s="41">
        <v>6.8000000000000005E-2</v>
      </c>
      <c r="K25" s="41">
        <v>7.5999999999999998E-2</v>
      </c>
      <c r="L25" s="41">
        <v>8.6999999999999994E-2</v>
      </c>
      <c r="M25" s="41">
        <v>9.7000000000000003E-2</v>
      </c>
      <c r="N25" s="41">
        <v>0.106</v>
      </c>
      <c r="O25" s="41">
        <v>0.12</v>
      </c>
      <c r="P25" s="41">
        <v>0.13200000000000001</v>
      </c>
      <c r="Q25" s="41">
        <v>0.14799999999999999</v>
      </c>
      <c r="R25" s="41">
        <v>0.17100000000000001</v>
      </c>
    </row>
    <row r="26" spans="1:18" x14ac:dyDescent="0.2">
      <c r="A26" s="41">
        <v>0</v>
      </c>
      <c r="B26" s="41">
        <v>1.7999999999999999E-2</v>
      </c>
      <c r="C26" s="41">
        <v>2.1999999999999999E-2</v>
      </c>
      <c r="D26" s="41">
        <v>2.5000000000000001E-2</v>
      </c>
      <c r="E26" s="41">
        <v>3.1E-2</v>
      </c>
      <c r="F26" s="41">
        <v>3.5000000000000003E-2</v>
      </c>
      <c r="G26" s="41">
        <v>3.9E-2</v>
      </c>
      <c r="H26" s="41">
        <v>4.4999999999999998E-2</v>
      </c>
      <c r="I26" s="41">
        <v>5.1999999999999998E-2</v>
      </c>
      <c r="J26" s="41">
        <v>6.0999999999999999E-2</v>
      </c>
      <c r="K26" s="41">
        <v>6.7000000000000004E-2</v>
      </c>
      <c r="L26" s="41">
        <v>7.8E-2</v>
      </c>
      <c r="M26" s="41">
        <v>8.6999999999999994E-2</v>
      </c>
      <c r="N26" s="41">
        <v>9.6000000000000002E-2</v>
      </c>
      <c r="O26" s="41">
        <v>0.109</v>
      </c>
      <c r="P26" s="41">
        <v>0.11899999999999999</v>
      </c>
      <c r="Q26" s="41">
        <v>0.13500000000000001</v>
      </c>
      <c r="R26" s="41">
        <v>0.156</v>
      </c>
    </row>
    <row r="27" spans="1:18" x14ac:dyDescent="0.2">
      <c r="A27" s="41">
        <v>0</v>
      </c>
      <c r="B27" s="41">
        <v>1.4999999999999999E-2</v>
      </c>
      <c r="C27" s="41">
        <v>1.9E-2</v>
      </c>
      <c r="D27" s="41">
        <v>2.1999999999999999E-2</v>
      </c>
      <c r="E27" s="41">
        <v>2.7E-2</v>
      </c>
      <c r="F27" s="41">
        <v>0.03</v>
      </c>
      <c r="G27" s="41">
        <v>3.4000000000000002E-2</v>
      </c>
      <c r="H27" s="41">
        <v>0.04</v>
      </c>
      <c r="I27" s="41">
        <v>4.5999999999999999E-2</v>
      </c>
      <c r="J27" s="41">
        <v>5.3999999999999999E-2</v>
      </c>
      <c r="K27" s="41">
        <v>0.06</v>
      </c>
      <c r="L27" s="41">
        <v>7.0000000000000007E-2</v>
      </c>
      <c r="M27" s="41">
        <v>7.8E-2</v>
      </c>
      <c r="N27" s="41">
        <v>8.5000000000000006E-2</v>
      </c>
      <c r="O27" s="41">
        <v>9.8000000000000004E-2</v>
      </c>
      <c r="P27" s="41">
        <v>0.108</v>
      </c>
      <c r="Q27" s="41">
        <v>0.122</v>
      </c>
      <c r="R27" s="41">
        <v>0.14199999999999999</v>
      </c>
    </row>
    <row r="28" spans="1:18" x14ac:dyDescent="0.2">
      <c r="A28" s="41">
        <v>0</v>
      </c>
      <c r="B28" s="41">
        <v>1.2999999999999999E-2</v>
      </c>
      <c r="C28" s="41">
        <v>1.6E-2</v>
      </c>
      <c r="D28" s="41">
        <v>1.9E-2</v>
      </c>
      <c r="E28" s="41">
        <v>2.4E-2</v>
      </c>
      <c r="F28" s="41">
        <v>2.7E-2</v>
      </c>
      <c r="G28" s="41">
        <v>0.03</v>
      </c>
      <c r="H28" s="41">
        <v>3.5000000000000003E-2</v>
      </c>
      <c r="I28" s="41">
        <v>0.04</v>
      </c>
      <c r="J28" s="41">
        <v>4.9000000000000002E-2</v>
      </c>
      <c r="K28" s="41">
        <v>5.3999999999999999E-2</v>
      </c>
      <c r="L28" s="41">
        <v>6.3E-2</v>
      </c>
      <c r="M28" s="41">
        <v>7.0000000000000007E-2</v>
      </c>
      <c r="N28" s="41">
        <v>7.6999999999999999E-2</v>
      </c>
      <c r="O28" s="41">
        <v>8.7999999999999995E-2</v>
      </c>
      <c r="P28" s="41">
        <v>9.8000000000000004E-2</v>
      </c>
      <c r="Q28" s="41">
        <v>0.111</v>
      </c>
      <c r="R28" s="41">
        <v>0.129</v>
      </c>
    </row>
    <row r="29" spans="1:18" x14ac:dyDescent="0.2">
      <c r="A29" s="41">
        <v>0</v>
      </c>
      <c r="B29" s="41">
        <v>1.0999999999999999E-2</v>
      </c>
      <c r="C29" s="41">
        <v>1.4E-2</v>
      </c>
      <c r="D29" s="41">
        <v>1.7000000000000001E-2</v>
      </c>
      <c r="E29" s="41">
        <v>0.02</v>
      </c>
      <c r="F29" s="41">
        <v>2.3E-2</v>
      </c>
      <c r="G29" s="41">
        <v>2.5999999999999999E-2</v>
      </c>
      <c r="H29" s="41">
        <v>3.1E-2</v>
      </c>
      <c r="I29" s="41">
        <v>3.5999999999999997E-2</v>
      </c>
      <c r="J29" s="41">
        <v>4.2999999999999997E-2</v>
      </c>
      <c r="K29" s="41">
        <v>4.8000000000000001E-2</v>
      </c>
      <c r="L29" s="41">
        <v>5.6000000000000001E-2</v>
      </c>
      <c r="M29" s="41">
        <v>6.3E-2</v>
      </c>
      <c r="N29" s="41">
        <v>6.9000000000000006E-2</v>
      </c>
      <c r="O29" s="41">
        <v>7.9000000000000001E-2</v>
      </c>
      <c r="P29" s="41">
        <v>8.7999999999999995E-2</v>
      </c>
      <c r="Q29" s="41">
        <v>0.1</v>
      </c>
      <c r="R29" s="41">
        <v>0.11700000000000001</v>
      </c>
    </row>
    <row r="30" spans="1:18" x14ac:dyDescent="0.2">
      <c r="A30" s="41">
        <v>0</v>
      </c>
      <c r="B30" s="41">
        <v>8.9999999999999993E-3</v>
      </c>
      <c r="C30" s="41">
        <v>1.2E-2</v>
      </c>
      <c r="D30" s="41">
        <v>1.4999999999999999E-2</v>
      </c>
      <c r="E30" s="41">
        <v>1.7999999999999999E-2</v>
      </c>
      <c r="F30" s="41">
        <v>0.02</v>
      </c>
      <c r="G30" s="41">
        <v>2.3E-2</v>
      </c>
      <c r="H30" s="41">
        <v>2.7E-2</v>
      </c>
      <c r="I30" s="41">
        <v>3.2000000000000001E-2</v>
      </c>
      <c r="J30" s="41">
        <v>3.7999999999999999E-2</v>
      </c>
      <c r="K30" s="41">
        <v>4.2999999999999997E-2</v>
      </c>
      <c r="L30" s="41">
        <v>0.05</v>
      </c>
      <c r="M30" s="41">
        <v>5.6000000000000001E-2</v>
      </c>
      <c r="N30" s="41">
        <v>6.2E-2</v>
      </c>
      <c r="O30" s="41">
        <v>7.0999999999999994E-2</v>
      </c>
      <c r="P30" s="41">
        <v>7.8E-2</v>
      </c>
      <c r="Q30" s="41">
        <v>0.09</v>
      </c>
      <c r="R30" s="41">
        <v>0.106</v>
      </c>
    </row>
    <row r="31" spans="1:18" x14ac:dyDescent="0.2">
      <c r="A31" s="41">
        <v>0</v>
      </c>
      <c r="B31" s="41">
        <v>8.0000000000000002E-3</v>
      </c>
      <c r="C31" s="41">
        <v>0.01</v>
      </c>
      <c r="D31" s="41">
        <v>1.2E-2</v>
      </c>
      <c r="E31" s="41">
        <v>1.4999999999999999E-2</v>
      </c>
      <c r="F31" s="41">
        <v>1.7999999999999999E-2</v>
      </c>
      <c r="G31" s="41">
        <v>0.02</v>
      </c>
      <c r="H31" s="41">
        <v>2.4E-2</v>
      </c>
      <c r="I31" s="41">
        <v>2.8000000000000001E-2</v>
      </c>
      <c r="J31" s="41">
        <v>3.4000000000000002E-2</v>
      </c>
      <c r="K31" s="41">
        <v>3.7999999999999999E-2</v>
      </c>
      <c r="L31" s="41">
        <v>4.3999999999999997E-2</v>
      </c>
      <c r="M31" s="41">
        <v>0.05</v>
      </c>
      <c r="N31" s="41">
        <v>5.5E-2</v>
      </c>
      <c r="O31" s="41">
        <v>6.3E-2</v>
      </c>
      <c r="P31" s="41">
        <v>7.0000000000000007E-2</v>
      </c>
      <c r="Q31" s="41">
        <v>8.1000000000000003E-2</v>
      </c>
      <c r="R31" s="41">
        <v>9.6000000000000002E-2</v>
      </c>
    </row>
    <row r="32" spans="1:18" x14ac:dyDescent="0.2">
      <c r="A32" s="41">
        <v>0</v>
      </c>
      <c r="B32" s="41">
        <v>7.0000000000000001E-3</v>
      </c>
      <c r="C32" s="41">
        <v>8.9999999999999993E-3</v>
      </c>
      <c r="D32" s="41">
        <v>0.01</v>
      </c>
      <c r="E32" s="41">
        <v>1.2999999999999999E-2</v>
      </c>
      <c r="F32" s="41">
        <v>1.6E-2</v>
      </c>
      <c r="G32" s="41">
        <v>1.7999999999999999E-2</v>
      </c>
      <c r="H32" s="41">
        <v>2.1000000000000001E-2</v>
      </c>
      <c r="I32" s="41">
        <v>2.5000000000000001E-2</v>
      </c>
      <c r="J32" s="41">
        <v>0.03</v>
      </c>
      <c r="K32" s="41">
        <v>3.4000000000000002E-2</v>
      </c>
      <c r="L32" s="41">
        <v>3.9E-2</v>
      </c>
      <c r="M32" s="41">
        <v>4.4999999999999998E-2</v>
      </c>
      <c r="N32" s="41">
        <v>4.9000000000000002E-2</v>
      </c>
      <c r="O32" s="41">
        <v>5.7000000000000002E-2</v>
      </c>
      <c r="P32" s="41">
        <v>6.3E-2</v>
      </c>
      <c r="Q32" s="41">
        <v>7.2999999999999995E-2</v>
      </c>
      <c r="R32" s="41">
        <v>8.6999999999999994E-2</v>
      </c>
    </row>
    <row r="34" spans="1:18" x14ac:dyDescent="0.2">
      <c r="A34" s="325" t="s">
        <v>650</v>
      </c>
    </row>
    <row r="35" spans="1:18" x14ac:dyDescent="0.2">
      <c r="A35" s="41">
        <v>0</v>
      </c>
      <c r="B35" s="41">
        <v>0.05</v>
      </c>
      <c r="C35" s="41">
        <v>6.5000000000000002E-2</v>
      </c>
      <c r="D35" s="41">
        <v>7.6999999999999999E-2</v>
      </c>
      <c r="E35" s="41">
        <v>0.1</v>
      </c>
      <c r="F35" s="41">
        <v>0.115</v>
      </c>
      <c r="G35" s="41">
        <v>0.13</v>
      </c>
      <c r="H35" s="41">
        <v>0.16</v>
      </c>
      <c r="I35" s="41">
        <v>0.17</v>
      </c>
      <c r="J35" s="41">
        <v>0.22</v>
      </c>
      <c r="K35" s="41">
        <v>0.25</v>
      </c>
      <c r="L35" s="41">
        <v>0.29499999999999998</v>
      </c>
      <c r="M35" s="41">
        <v>0.32</v>
      </c>
      <c r="N35" s="41">
        <v>0.34499999999999997</v>
      </c>
      <c r="O35" s="41">
        <v>0.4</v>
      </c>
      <c r="P35" s="41">
        <v>0.42</v>
      </c>
      <c r="Q35" s="41">
        <v>0.47</v>
      </c>
      <c r="R35" s="41">
        <v>0.53</v>
      </c>
    </row>
    <row r="36" spans="1:18" x14ac:dyDescent="0.2">
      <c r="A36" s="41">
        <v>0</v>
      </c>
      <c r="B36" s="41">
        <v>3.5000000000000003E-2</v>
      </c>
      <c r="C36" s="41">
        <v>4.7E-2</v>
      </c>
      <c r="D36" s="41">
        <v>5.5E-2</v>
      </c>
      <c r="E36" s="41">
        <v>7.1999999999999995E-2</v>
      </c>
      <c r="F36" s="41">
        <v>8.5999999999999993E-2</v>
      </c>
      <c r="G36" s="41">
        <v>9.8000000000000004E-2</v>
      </c>
      <c r="H36" s="41">
        <v>0.122</v>
      </c>
      <c r="I36" s="41">
        <v>0.14299999999999999</v>
      </c>
      <c r="J36" s="41">
        <v>0.17199999999999999</v>
      </c>
      <c r="K36" s="41">
        <v>0.19700000000000001</v>
      </c>
      <c r="L36" s="41">
        <v>0.23499999999999999</v>
      </c>
      <c r="M36" s="41">
        <v>0.26300000000000001</v>
      </c>
      <c r="N36" s="41">
        <v>0.28499999999999998</v>
      </c>
      <c r="O36" s="41">
        <v>0.33</v>
      </c>
      <c r="P36" s="41">
        <v>0.36099999999999999</v>
      </c>
      <c r="Q36" s="41">
        <v>0.40799999999999997</v>
      </c>
      <c r="R36" s="41">
        <v>0.46200000000000002</v>
      </c>
    </row>
    <row r="37" spans="1:18" x14ac:dyDescent="0.2">
      <c r="A37" s="41">
        <v>0</v>
      </c>
      <c r="B37" s="41">
        <v>3.3000000000000002E-2</v>
      </c>
      <c r="C37" s="41">
        <v>4.2999999999999997E-2</v>
      </c>
      <c r="D37" s="41">
        <v>5.1999999999999998E-2</v>
      </c>
      <c r="E37" s="41">
        <v>6.8000000000000005E-2</v>
      </c>
      <c r="F37" s="41">
        <v>8.1000000000000003E-2</v>
      </c>
      <c r="G37" s="41">
        <v>9.2999999999999999E-2</v>
      </c>
      <c r="H37" s="41">
        <v>0.11799999999999999</v>
      </c>
      <c r="I37" s="41">
        <v>0.13900000000000001</v>
      </c>
      <c r="J37" s="41">
        <v>0.16700000000000001</v>
      </c>
      <c r="K37" s="41">
        <v>0.192</v>
      </c>
      <c r="L37" s="41">
        <v>0.23</v>
      </c>
      <c r="M37" s="41">
        <v>0.26</v>
      </c>
      <c r="N37" s="41">
        <v>0.28100000000000003</v>
      </c>
      <c r="O37" s="41">
        <v>0.32800000000000001</v>
      </c>
      <c r="P37" s="41">
        <v>0.35899999999999999</v>
      </c>
      <c r="Q37" s="41">
        <v>0.40500000000000003</v>
      </c>
      <c r="R37" s="41">
        <v>0.46</v>
      </c>
    </row>
    <row r="38" spans="1:18" x14ac:dyDescent="0.2">
      <c r="A38" s="41">
        <v>0</v>
      </c>
      <c r="B38" s="41">
        <v>2.8000000000000001E-2</v>
      </c>
      <c r="C38" s="41">
        <v>3.7999999999999999E-2</v>
      </c>
      <c r="D38" s="41">
        <v>4.5999999999999999E-2</v>
      </c>
      <c r="E38" s="41">
        <v>6.0999999999999999E-2</v>
      </c>
      <c r="F38" s="41">
        <v>7.3999999999999996E-2</v>
      </c>
      <c r="G38" s="41">
        <v>8.5000000000000006E-2</v>
      </c>
      <c r="H38" s="41">
        <v>0.11</v>
      </c>
      <c r="I38" s="41">
        <v>0.129</v>
      </c>
      <c r="J38" s="41">
        <v>0.159</v>
      </c>
      <c r="K38" s="41">
        <v>0.183</v>
      </c>
      <c r="L38" s="41">
        <v>0.22</v>
      </c>
      <c r="M38" s="41">
        <v>0.252</v>
      </c>
      <c r="N38" s="41">
        <v>0.27500000000000002</v>
      </c>
      <c r="O38" s="41">
        <v>0.32</v>
      </c>
      <c r="P38" s="41">
        <v>0.35</v>
      </c>
      <c r="Q38" s="41">
        <v>0.39800000000000002</v>
      </c>
      <c r="R38" s="41">
        <v>0.45800000000000002</v>
      </c>
    </row>
    <row r="39" spans="1:18" x14ac:dyDescent="0.2">
      <c r="A39" s="41">
        <v>0</v>
      </c>
      <c r="B39" s="41">
        <v>2.5999999999999999E-2</v>
      </c>
      <c r="C39" s="41">
        <v>3.5000000000000003E-2</v>
      </c>
      <c r="D39" s="41">
        <v>4.3999999999999997E-2</v>
      </c>
      <c r="E39" s="41">
        <v>5.8000000000000003E-2</v>
      </c>
      <c r="F39" s="41">
        <v>7.0000000000000007E-2</v>
      </c>
      <c r="G39" s="41">
        <v>8.1000000000000003E-2</v>
      </c>
      <c r="H39" s="41">
        <v>0.105</v>
      </c>
      <c r="I39" s="41">
        <v>0.124</v>
      </c>
      <c r="J39" s="41">
        <v>0.153</v>
      </c>
      <c r="K39" s="41">
        <v>0.17699999999999999</v>
      </c>
      <c r="L39" s="41">
        <v>0.214</v>
      </c>
      <c r="M39" s="41">
        <v>0.245</v>
      </c>
      <c r="N39" s="41">
        <v>0.26700000000000002</v>
      </c>
      <c r="O39" s="41">
        <v>0.312</v>
      </c>
      <c r="P39" s="41">
        <v>0.34499999999999997</v>
      </c>
      <c r="Q39" s="41">
        <v>0.39100000000000001</v>
      </c>
      <c r="R39" s="41">
        <v>0.45</v>
      </c>
    </row>
    <row r="40" spans="1:18" x14ac:dyDescent="0.2">
      <c r="A40" s="41">
        <v>0</v>
      </c>
      <c r="B40" s="41">
        <v>2.4E-2</v>
      </c>
      <c r="C40" s="41">
        <v>3.3000000000000002E-2</v>
      </c>
      <c r="D40" s="41">
        <v>4.1000000000000002E-2</v>
      </c>
      <c r="E40" s="41">
        <v>5.5E-2</v>
      </c>
      <c r="F40" s="41">
        <v>6.7000000000000004E-2</v>
      </c>
      <c r="G40" s="41">
        <v>7.6999999999999999E-2</v>
      </c>
      <c r="H40" s="41">
        <v>9.9000000000000005E-2</v>
      </c>
      <c r="I40" s="41">
        <v>0.11799999999999999</v>
      </c>
      <c r="J40" s="41">
        <v>0.14799999999999999</v>
      </c>
      <c r="K40" s="41">
        <v>0.17</v>
      </c>
      <c r="L40" s="41">
        <v>0.20799999999999999</v>
      </c>
      <c r="M40" s="41">
        <v>0.23799999999999999</v>
      </c>
      <c r="N40" s="41">
        <v>0.25900000000000001</v>
      </c>
      <c r="O40" s="41">
        <v>0.30099999999999999</v>
      </c>
      <c r="P40" s="41">
        <v>0.33800000000000002</v>
      </c>
      <c r="Q40" s="41">
        <v>0.38500000000000001</v>
      </c>
      <c r="R40" s="41">
        <v>0.44500000000000001</v>
      </c>
    </row>
    <row r="41" spans="1:18" x14ac:dyDescent="0.2">
      <c r="A41" s="41">
        <v>0</v>
      </c>
      <c r="B41" s="41">
        <v>2.1999999999999999E-2</v>
      </c>
      <c r="C41" s="41">
        <v>0.03</v>
      </c>
      <c r="D41" s="41">
        <v>3.7999999999999999E-2</v>
      </c>
      <c r="E41" s="41">
        <v>5.0999999999999997E-2</v>
      </c>
      <c r="F41" s="41">
        <v>6.3E-2</v>
      </c>
      <c r="G41" s="41">
        <v>7.2999999999999995E-2</v>
      </c>
      <c r="H41" s="41">
        <v>9.4E-2</v>
      </c>
      <c r="I41" s="41">
        <v>0.112</v>
      </c>
      <c r="J41" s="41">
        <v>0.14199999999999999</v>
      </c>
      <c r="K41" s="41">
        <v>0.16300000000000001</v>
      </c>
      <c r="L41" s="41">
        <v>0.19900000000000001</v>
      </c>
      <c r="M41" s="41">
        <v>0.22900000000000001</v>
      </c>
      <c r="N41" s="41">
        <v>0.25</v>
      </c>
      <c r="O41" s="41">
        <v>0.29399999999999998</v>
      </c>
      <c r="P41" s="41">
        <v>0.32900000000000001</v>
      </c>
      <c r="Q41" s="41">
        <v>0.375</v>
      </c>
      <c r="R41" s="41">
        <v>0.438</v>
      </c>
    </row>
    <row r="42" spans="1:18" x14ac:dyDescent="0.2">
      <c r="A42" s="41">
        <v>0</v>
      </c>
      <c r="B42" s="41">
        <v>0.02</v>
      </c>
      <c r="C42" s="41">
        <v>2.8000000000000001E-2</v>
      </c>
      <c r="D42" s="41">
        <v>3.5000000000000003E-2</v>
      </c>
      <c r="E42" s="41">
        <v>4.8000000000000001E-2</v>
      </c>
      <c r="F42" s="41">
        <v>5.8999999999999997E-2</v>
      </c>
      <c r="G42" s="41">
        <v>6.9000000000000006E-2</v>
      </c>
      <c r="H42" s="41">
        <v>8.8999999999999996E-2</v>
      </c>
      <c r="I42" s="41">
        <v>0.106</v>
      </c>
      <c r="J42" s="41">
        <v>0.13500000000000001</v>
      </c>
      <c r="K42" s="41">
        <v>0.155</v>
      </c>
      <c r="L42" s="41">
        <v>0.19</v>
      </c>
      <c r="M42" s="41">
        <v>0.22</v>
      </c>
      <c r="N42" s="41">
        <v>0.24099999999999999</v>
      </c>
      <c r="O42" s="41">
        <v>0.28399999999999997</v>
      </c>
      <c r="P42" s="41">
        <v>0.32</v>
      </c>
      <c r="Q42" s="41">
        <v>0.36599999999999999</v>
      </c>
      <c r="R42" s="41">
        <v>0.42499999999999999</v>
      </c>
    </row>
    <row r="43" spans="1:18" x14ac:dyDescent="0.2">
      <c r="A43" s="41">
        <v>0</v>
      </c>
      <c r="B43" s="41">
        <v>1.9E-2</v>
      </c>
      <c r="C43" s="41">
        <v>2.5999999999999999E-2</v>
      </c>
      <c r="D43" s="41">
        <v>3.3000000000000002E-2</v>
      </c>
      <c r="E43" s="41">
        <v>4.4999999999999998E-2</v>
      </c>
      <c r="F43" s="41">
        <v>5.5E-2</v>
      </c>
      <c r="G43" s="41">
        <v>6.5000000000000002E-2</v>
      </c>
      <c r="H43" s="41">
        <v>8.4000000000000005E-2</v>
      </c>
      <c r="I43" s="41">
        <v>0.10100000000000001</v>
      </c>
      <c r="J43" s="41">
        <v>0.129</v>
      </c>
      <c r="K43" s="41">
        <v>0.14899999999999999</v>
      </c>
      <c r="L43" s="41">
        <v>0.184</v>
      </c>
      <c r="M43" s="41">
        <v>0.21199999999999999</v>
      </c>
      <c r="N43" s="41">
        <v>0.23200000000000001</v>
      </c>
      <c r="O43" s="41">
        <v>0.27600000000000002</v>
      </c>
      <c r="P43" s="41">
        <v>0.31</v>
      </c>
      <c r="Q43" s="41">
        <v>0.35599999999999998</v>
      </c>
      <c r="R43" s="41">
        <v>0.41499999999999998</v>
      </c>
    </row>
    <row r="44" spans="1:18" x14ac:dyDescent="0.2">
      <c r="A44" s="41">
        <v>0</v>
      </c>
      <c r="B44" s="41">
        <v>1.7000000000000001E-2</v>
      </c>
      <c r="C44" s="41">
        <v>2.4E-2</v>
      </c>
      <c r="D44" s="41">
        <v>3.1E-2</v>
      </c>
      <c r="E44" s="41">
        <v>4.2000000000000003E-2</v>
      </c>
      <c r="F44" s="41">
        <v>5.1999999999999998E-2</v>
      </c>
      <c r="G44" s="41">
        <v>6.0999999999999999E-2</v>
      </c>
      <c r="H44" s="41">
        <v>0.08</v>
      </c>
      <c r="I44" s="41">
        <v>9.5000000000000001E-2</v>
      </c>
      <c r="J44" s="41">
        <v>0.123</v>
      </c>
      <c r="K44" s="41">
        <v>0.14299999999999999</v>
      </c>
      <c r="L44" s="41">
        <v>0.17599999999999999</v>
      </c>
      <c r="M44" s="41">
        <v>0.20300000000000001</v>
      </c>
      <c r="N44" s="41">
        <v>0.22500000000000001</v>
      </c>
      <c r="O44" s="41">
        <v>0.26800000000000002</v>
      </c>
      <c r="P44" s="41">
        <v>0.3</v>
      </c>
      <c r="Q44" s="41">
        <v>0.34699999999999998</v>
      </c>
      <c r="R44" s="41">
        <v>0.40500000000000003</v>
      </c>
    </row>
    <row r="45" spans="1:18" x14ac:dyDescent="0.2">
      <c r="A45" s="41">
        <v>0</v>
      </c>
      <c r="B45" s="41">
        <v>1.6E-2</v>
      </c>
      <c r="C45" s="41">
        <v>2.1000000000000001E-2</v>
      </c>
      <c r="D45" s="41">
        <v>2.8000000000000001E-2</v>
      </c>
      <c r="E45" s="41">
        <v>3.9E-2</v>
      </c>
      <c r="F45" s="41">
        <v>4.9000000000000002E-2</v>
      </c>
      <c r="G45" s="41">
        <v>5.7000000000000002E-2</v>
      </c>
      <c r="H45" s="41">
        <v>7.5999999999999998E-2</v>
      </c>
      <c r="I45" s="41">
        <v>0.09</v>
      </c>
      <c r="J45" s="41">
        <v>0.11700000000000001</v>
      </c>
      <c r="K45" s="41">
        <v>0.13700000000000001</v>
      </c>
      <c r="L45" s="41">
        <v>0.17</v>
      </c>
      <c r="M45" s="41">
        <v>0.19600000000000001</v>
      </c>
      <c r="N45" s="41">
        <v>0.218</v>
      </c>
      <c r="O45" s="41">
        <v>0.25900000000000001</v>
      </c>
      <c r="P45" s="41">
        <v>0.28999999999999998</v>
      </c>
      <c r="Q45" s="41">
        <v>0.33700000000000002</v>
      </c>
      <c r="R45" s="41">
        <v>0.39500000000000002</v>
      </c>
    </row>
    <row r="46" spans="1:18" x14ac:dyDescent="0.2">
      <c r="A46" s="41">
        <v>0</v>
      </c>
      <c r="B46" s="41">
        <v>1.4999999999999999E-2</v>
      </c>
      <c r="C46" s="41">
        <v>1.9E-2</v>
      </c>
      <c r="D46" s="41">
        <v>2.5999999999999999E-2</v>
      </c>
      <c r="E46" s="41">
        <v>3.5999999999999997E-2</v>
      </c>
      <c r="F46" s="41">
        <v>4.5999999999999999E-2</v>
      </c>
      <c r="G46" s="41">
        <v>5.3999999999999999E-2</v>
      </c>
      <c r="H46" s="41">
        <v>7.0999999999999994E-2</v>
      </c>
      <c r="I46" s="41">
        <v>8.5999999999999993E-2</v>
      </c>
      <c r="J46" s="41">
        <v>0.112</v>
      </c>
      <c r="K46" s="41">
        <v>0.13</v>
      </c>
      <c r="L46" s="41">
        <v>0.16300000000000001</v>
      </c>
      <c r="M46" s="41">
        <v>0.188</v>
      </c>
      <c r="N46" s="41">
        <v>0.21</v>
      </c>
      <c r="O46" s="41">
        <v>0.25</v>
      </c>
      <c r="P46" s="41">
        <v>0.28100000000000003</v>
      </c>
      <c r="Q46" s="41">
        <v>0.32700000000000001</v>
      </c>
      <c r="R46" s="41">
        <v>0.38200000000000001</v>
      </c>
    </row>
    <row r="47" spans="1:18" x14ac:dyDescent="0.2">
      <c r="A47" s="41">
        <v>0</v>
      </c>
      <c r="B47" s="41">
        <v>1.2E-2</v>
      </c>
      <c r="C47" s="41">
        <v>1.7999999999999999E-2</v>
      </c>
      <c r="D47" s="41">
        <v>2.4E-2</v>
      </c>
      <c r="E47" s="41">
        <v>3.4000000000000002E-2</v>
      </c>
      <c r="F47" s="41">
        <v>4.2999999999999997E-2</v>
      </c>
      <c r="G47" s="41">
        <v>5.0999999999999997E-2</v>
      </c>
      <c r="H47" s="41">
        <v>6.8000000000000005E-2</v>
      </c>
      <c r="I47" s="41">
        <v>8.2000000000000003E-2</v>
      </c>
      <c r="J47" s="41">
        <v>0.107</v>
      </c>
      <c r="K47" s="41">
        <v>0.125</v>
      </c>
      <c r="L47" s="41">
        <v>0.156</v>
      </c>
      <c r="M47" s="41">
        <v>0.18099999999999999</v>
      </c>
      <c r="N47" s="41">
        <v>0.20100000000000001</v>
      </c>
      <c r="O47" s="41">
        <v>0.24</v>
      </c>
      <c r="P47" s="41">
        <v>0.27100000000000002</v>
      </c>
      <c r="Q47" s="41">
        <v>0.317</v>
      </c>
      <c r="R47" s="41">
        <v>0.371</v>
      </c>
    </row>
    <row r="48" spans="1:18" x14ac:dyDescent="0.2">
      <c r="A48" s="41">
        <v>0</v>
      </c>
      <c r="B48" s="41">
        <v>0.01</v>
      </c>
      <c r="C48" s="41">
        <v>1.4E-2</v>
      </c>
      <c r="D48" s="41">
        <v>2.3E-2</v>
      </c>
      <c r="E48" s="41">
        <v>3.2000000000000001E-2</v>
      </c>
      <c r="F48" s="41">
        <v>0.04</v>
      </c>
      <c r="G48" s="41">
        <v>4.8000000000000001E-2</v>
      </c>
      <c r="H48" s="41">
        <v>6.4000000000000001E-2</v>
      </c>
      <c r="I48" s="41">
        <v>7.6999999999999999E-2</v>
      </c>
      <c r="J48" s="41">
        <v>0.10199999999999999</v>
      </c>
      <c r="K48" s="41">
        <v>0.12</v>
      </c>
      <c r="L48" s="41">
        <v>0.15</v>
      </c>
      <c r="M48" s="41">
        <v>0.17499999999999999</v>
      </c>
      <c r="N48" s="41">
        <v>0.19400000000000001</v>
      </c>
      <c r="O48" s="41">
        <v>0.23100000000000001</v>
      </c>
      <c r="P48" s="41">
        <v>0.26200000000000001</v>
      </c>
      <c r="Q48" s="41">
        <v>0.308</v>
      </c>
      <c r="R48" s="41">
        <v>0.36</v>
      </c>
    </row>
    <row r="49" spans="1:18" x14ac:dyDescent="0.2">
      <c r="A49" s="41">
        <v>0</v>
      </c>
      <c r="B49" s="41">
        <v>8.0000000000000002E-3</v>
      </c>
      <c r="C49" s="41">
        <v>1.2E-2</v>
      </c>
      <c r="D49" s="41">
        <v>1.7999999999999999E-2</v>
      </c>
      <c r="E49" s="41">
        <v>2.5999999999999999E-2</v>
      </c>
      <c r="F49" s="41">
        <v>3.3000000000000002E-2</v>
      </c>
      <c r="G49" s="41">
        <v>0.04</v>
      </c>
      <c r="H49" s="41">
        <v>5.3999999999999999E-2</v>
      </c>
      <c r="I49" s="41">
        <v>6.6000000000000003E-2</v>
      </c>
      <c r="J49" s="41">
        <v>8.7999999999999995E-2</v>
      </c>
      <c r="K49" s="41">
        <v>0.105</v>
      </c>
      <c r="L49" s="41">
        <v>0.13300000000000001</v>
      </c>
      <c r="M49" s="41">
        <v>0.155</v>
      </c>
      <c r="N49" s="41">
        <v>0.17399999999999999</v>
      </c>
      <c r="O49" s="41">
        <v>0.21</v>
      </c>
      <c r="P49" s="41">
        <v>0.23699999999999999</v>
      </c>
      <c r="Q49" s="41">
        <v>0.27900000000000003</v>
      </c>
      <c r="R49" s="41">
        <v>0.32800000000000001</v>
      </c>
    </row>
    <row r="50" spans="1:18" x14ac:dyDescent="0.2">
      <c r="A50" s="41">
        <v>0</v>
      </c>
      <c r="B50" s="41">
        <v>6.0000000000000001E-3</v>
      </c>
      <c r="C50" s="41">
        <v>0.01</v>
      </c>
      <c r="D50" s="41">
        <v>1.4999999999999999E-2</v>
      </c>
      <c r="E50" s="41">
        <v>2.1999999999999999E-2</v>
      </c>
      <c r="F50" s="41">
        <v>2.8000000000000001E-2</v>
      </c>
      <c r="G50" s="41">
        <v>3.4000000000000002E-2</v>
      </c>
      <c r="H50" s="41">
        <v>4.7E-2</v>
      </c>
      <c r="I50" s="41">
        <v>5.8000000000000003E-2</v>
      </c>
      <c r="J50" s="41">
        <v>7.8E-2</v>
      </c>
      <c r="K50" s="41">
        <v>9.4E-2</v>
      </c>
      <c r="L50" s="41">
        <v>0.11899999999999999</v>
      </c>
      <c r="M50" s="41">
        <v>0.14000000000000001</v>
      </c>
      <c r="N50" s="41">
        <v>0.157</v>
      </c>
      <c r="O50" s="41">
        <v>0.191</v>
      </c>
      <c r="P50" s="41">
        <v>0.218</v>
      </c>
      <c r="Q50" s="41">
        <v>0.25700000000000001</v>
      </c>
      <c r="R50" s="41">
        <v>0.30099999999999999</v>
      </c>
    </row>
    <row r="51" spans="1:18" x14ac:dyDescent="0.2">
      <c r="A51" s="41">
        <v>0</v>
      </c>
      <c r="B51" s="41">
        <v>4.0000000000000001E-3</v>
      </c>
      <c r="C51" s="41">
        <v>8.0000000000000002E-3</v>
      </c>
      <c r="D51" s="41">
        <v>1.2999999999999999E-2</v>
      </c>
      <c r="E51" s="41">
        <v>1.7999999999999999E-2</v>
      </c>
      <c r="F51" s="41">
        <v>2.4E-2</v>
      </c>
      <c r="G51" s="41">
        <v>2.9000000000000001E-2</v>
      </c>
      <c r="H51" s="41">
        <v>0.04</v>
      </c>
      <c r="I51" s="41">
        <v>0.05</v>
      </c>
      <c r="J51" s="41">
        <v>6.9000000000000006E-2</v>
      </c>
      <c r="K51" s="41">
        <v>8.3000000000000004E-2</v>
      </c>
      <c r="L51" s="41">
        <v>0.107</v>
      </c>
      <c r="M51" s="41">
        <v>0.127</v>
      </c>
      <c r="N51" s="41">
        <v>0.14199999999999999</v>
      </c>
      <c r="O51" s="41">
        <v>0.17499999999999999</v>
      </c>
      <c r="P51" s="41">
        <v>0.2</v>
      </c>
      <c r="Q51" s="41">
        <v>0.23499999999999999</v>
      </c>
      <c r="R51" s="41">
        <v>0.28000000000000003</v>
      </c>
    </row>
    <row r="52" spans="1:18" x14ac:dyDescent="0.2">
      <c r="A52" s="41">
        <v>0</v>
      </c>
      <c r="B52" s="41">
        <v>3.0000000000000001E-3</v>
      </c>
      <c r="C52" s="41">
        <v>7.0000000000000001E-3</v>
      </c>
      <c r="D52" s="41">
        <v>1.0999999999999999E-2</v>
      </c>
      <c r="E52" s="41">
        <v>1.6E-2</v>
      </c>
      <c r="F52" s="41">
        <v>0.02</v>
      </c>
      <c r="G52" s="41">
        <v>2.5000000000000001E-2</v>
      </c>
      <c r="H52" s="41">
        <v>3.5000000000000003E-2</v>
      </c>
      <c r="I52" s="41">
        <v>4.3999999999999997E-2</v>
      </c>
      <c r="J52" s="41">
        <v>6.0999999999999999E-2</v>
      </c>
      <c r="K52" s="41">
        <v>7.3999999999999996E-2</v>
      </c>
      <c r="L52" s="41">
        <v>9.7000000000000003E-2</v>
      </c>
      <c r="M52" s="41">
        <v>0.115</v>
      </c>
      <c r="N52" s="41">
        <v>0.13</v>
      </c>
      <c r="O52" s="41">
        <v>0.16</v>
      </c>
      <c r="P52" s="41">
        <v>0.184</v>
      </c>
      <c r="Q52" s="41">
        <v>0.218</v>
      </c>
      <c r="R52" s="41">
        <v>0.26</v>
      </c>
    </row>
    <row r="53" spans="1:18" x14ac:dyDescent="0.2">
      <c r="A53" s="41">
        <v>0</v>
      </c>
      <c r="B53" s="41">
        <v>2E-3</v>
      </c>
      <c r="C53" s="41">
        <v>6.0000000000000001E-3</v>
      </c>
      <c r="D53" s="41">
        <v>8.9999999999999993E-3</v>
      </c>
      <c r="E53" s="41">
        <v>1.2999999999999999E-2</v>
      </c>
      <c r="F53" s="41">
        <v>1.7000000000000001E-2</v>
      </c>
      <c r="G53" s="41">
        <v>2.1000000000000001E-2</v>
      </c>
      <c r="H53" s="41">
        <v>0.03</v>
      </c>
      <c r="I53" s="41">
        <v>3.9E-2</v>
      </c>
      <c r="J53" s="41">
        <v>5.3999999999999999E-2</v>
      </c>
      <c r="K53" s="41">
        <v>6.6000000000000003E-2</v>
      </c>
      <c r="L53" s="41">
        <v>8.7999999999999995E-2</v>
      </c>
      <c r="M53" s="41">
        <v>0.105</v>
      </c>
      <c r="N53" s="41">
        <v>0.11799999999999999</v>
      </c>
      <c r="O53" s="41">
        <v>0.14599999999999999</v>
      </c>
      <c r="P53" s="41">
        <v>0.17</v>
      </c>
      <c r="Q53" s="41">
        <v>0.2</v>
      </c>
      <c r="R53" s="41">
        <v>0.24</v>
      </c>
    </row>
    <row r="54" spans="1:18" x14ac:dyDescent="0.2">
      <c r="A54" s="41">
        <v>0</v>
      </c>
      <c r="B54" s="41">
        <v>3.0000000000000001E-3</v>
      </c>
      <c r="C54" s="41">
        <v>5.0000000000000001E-3</v>
      </c>
      <c r="D54" s="41">
        <v>7.0000000000000001E-3</v>
      </c>
      <c r="E54" s="41">
        <v>1.0999999999999999E-2</v>
      </c>
      <c r="F54" s="41">
        <v>1.4999999999999999E-2</v>
      </c>
      <c r="G54" s="41">
        <v>1.7999999999999999E-2</v>
      </c>
      <c r="H54" s="41">
        <v>2.5999999999999999E-2</v>
      </c>
      <c r="I54" s="41">
        <v>3.4000000000000002E-2</v>
      </c>
      <c r="J54" s="41">
        <v>4.8000000000000001E-2</v>
      </c>
      <c r="K54" s="41">
        <v>5.8999999999999997E-2</v>
      </c>
      <c r="L54" s="41">
        <v>7.9000000000000001E-2</v>
      </c>
      <c r="M54" s="41">
        <v>9.4E-2</v>
      </c>
      <c r="N54" s="41">
        <v>0.107</v>
      </c>
      <c r="O54" s="41">
        <v>0.13400000000000001</v>
      </c>
      <c r="P54" s="41">
        <v>0.155</v>
      </c>
      <c r="Q54" s="41">
        <v>0.184</v>
      </c>
      <c r="R54" s="41">
        <v>0.222</v>
      </c>
    </row>
    <row r="55" spans="1:18" x14ac:dyDescent="0.2">
      <c r="A55" s="41">
        <v>0</v>
      </c>
      <c r="B55" s="41">
        <v>2E-3</v>
      </c>
      <c r="C55" s="41">
        <v>4.0000000000000001E-3</v>
      </c>
      <c r="D55" s="41">
        <v>6.0000000000000001E-3</v>
      </c>
      <c r="E55" s="41">
        <v>8.9999999999999993E-3</v>
      </c>
      <c r="F55" s="41">
        <v>1.2E-2</v>
      </c>
      <c r="G55" s="41">
        <v>1.4999999999999999E-2</v>
      </c>
      <c r="H55" s="41">
        <v>2.3E-2</v>
      </c>
      <c r="I55" s="41">
        <v>0.03</v>
      </c>
      <c r="J55" s="41">
        <v>4.2000000000000003E-2</v>
      </c>
      <c r="K55" s="41">
        <v>5.2999999999999999E-2</v>
      </c>
      <c r="L55" s="41">
        <v>7.0999999999999994E-2</v>
      </c>
      <c r="M55" s="41">
        <v>8.5000000000000006E-2</v>
      </c>
      <c r="N55" s="41">
        <v>9.7000000000000003E-2</v>
      </c>
      <c r="O55" s="41">
        <v>0.122</v>
      </c>
      <c r="P55" s="41">
        <v>0.14299999999999999</v>
      </c>
      <c r="Q55" s="41">
        <v>0.17</v>
      </c>
      <c r="R55" s="41">
        <v>0.20499999999999999</v>
      </c>
    </row>
    <row r="56" spans="1:18" x14ac:dyDescent="0.2">
      <c r="A56" s="41">
        <v>0</v>
      </c>
      <c r="B56" s="41">
        <v>1E-3</v>
      </c>
      <c r="C56" s="41">
        <v>3.0000000000000001E-3</v>
      </c>
      <c r="D56" s="41">
        <v>5.0000000000000001E-3</v>
      </c>
      <c r="E56" s="41">
        <v>8.0000000000000002E-3</v>
      </c>
      <c r="F56" s="41">
        <v>0.01</v>
      </c>
      <c r="G56" s="41">
        <v>1.2999999999999999E-2</v>
      </c>
      <c r="H56" s="41">
        <v>0.02</v>
      </c>
      <c r="I56" s="41">
        <v>2.5999999999999999E-2</v>
      </c>
      <c r="J56" s="41">
        <v>3.6999999999999998E-2</v>
      </c>
      <c r="K56" s="41">
        <v>4.7E-2</v>
      </c>
      <c r="L56" s="41">
        <v>6.4000000000000001E-2</v>
      </c>
      <c r="M56" s="41">
        <v>7.8E-2</v>
      </c>
      <c r="N56" s="41">
        <v>8.7999999999999995E-2</v>
      </c>
      <c r="O56" s="41">
        <v>0.112</v>
      </c>
      <c r="P56" s="41">
        <v>0.13200000000000001</v>
      </c>
      <c r="Q56" s="41">
        <v>0.156</v>
      </c>
      <c r="R56" s="41">
        <v>0.19</v>
      </c>
    </row>
    <row r="57" spans="1:18" x14ac:dyDescent="0.2">
      <c r="A57" s="41">
        <v>0</v>
      </c>
      <c r="B57" s="41">
        <v>2E-3</v>
      </c>
      <c r="C57" s="41">
        <v>3.0000000000000001E-3</v>
      </c>
      <c r="D57" s="41">
        <v>4.0000000000000001E-3</v>
      </c>
      <c r="E57" s="41">
        <v>7.0000000000000001E-3</v>
      </c>
      <c r="F57" s="41">
        <v>8.9999999999999993E-3</v>
      </c>
      <c r="G57" s="41">
        <v>1.0999999999999999E-2</v>
      </c>
      <c r="H57" s="41">
        <v>1.7000000000000001E-2</v>
      </c>
      <c r="I57" s="41">
        <v>2.3E-2</v>
      </c>
      <c r="J57" s="41">
        <v>3.3000000000000002E-2</v>
      </c>
      <c r="K57" s="41">
        <v>4.2000000000000003E-2</v>
      </c>
      <c r="L57" s="41">
        <v>5.8000000000000003E-2</v>
      </c>
      <c r="M57" s="41">
        <v>7.0000000000000007E-2</v>
      </c>
      <c r="N57" s="41">
        <v>0.08</v>
      </c>
      <c r="O57" s="41">
        <v>0.10299999999999999</v>
      </c>
      <c r="P57" s="41">
        <v>0.121</v>
      </c>
      <c r="Q57" s="41">
        <v>0.14399999999999999</v>
      </c>
      <c r="R57" s="41">
        <v>0.17599999999999999</v>
      </c>
    </row>
    <row r="58" spans="1:18" x14ac:dyDescent="0.2">
      <c r="A58" s="41">
        <v>0</v>
      </c>
      <c r="B58" s="41">
        <v>1E-3</v>
      </c>
      <c r="C58" s="41">
        <v>2E-3</v>
      </c>
      <c r="D58" s="41">
        <v>3.0000000000000001E-3</v>
      </c>
      <c r="E58" s="41">
        <v>6.0000000000000001E-3</v>
      </c>
      <c r="F58" s="41">
        <v>8.0000000000000002E-3</v>
      </c>
      <c r="G58" s="41">
        <v>0.01</v>
      </c>
      <c r="H58" s="41">
        <v>1.4999999999999999E-2</v>
      </c>
      <c r="I58" s="41">
        <v>0.02</v>
      </c>
      <c r="J58" s="41">
        <v>2.9000000000000001E-2</v>
      </c>
      <c r="K58" s="41">
        <v>3.7999999999999999E-2</v>
      </c>
      <c r="L58" s="41">
        <v>5.1999999999999998E-2</v>
      </c>
      <c r="M58" s="41">
        <v>6.3E-2</v>
      </c>
      <c r="N58" s="41">
        <v>7.2999999999999995E-2</v>
      </c>
      <c r="O58" s="41">
        <v>9.5000000000000001E-2</v>
      </c>
      <c r="P58" s="41">
        <v>0.111</v>
      </c>
      <c r="Q58" s="41">
        <v>0.13200000000000001</v>
      </c>
      <c r="R58" s="41">
        <v>0.16200000000000001</v>
      </c>
    </row>
    <row r="59" spans="1:18" x14ac:dyDescent="0.2">
      <c r="A59" s="41">
        <v>0</v>
      </c>
      <c r="B59" s="41">
        <v>0</v>
      </c>
      <c r="C59" s="41">
        <v>3.0000000000000001E-3</v>
      </c>
      <c r="D59" s="41">
        <v>2E-3</v>
      </c>
      <c r="E59" s="41">
        <v>5.0000000000000001E-3</v>
      </c>
      <c r="F59" s="41">
        <v>6.0000000000000001E-3</v>
      </c>
      <c r="G59" s="41">
        <v>8.9999999999999993E-3</v>
      </c>
      <c r="H59" s="41">
        <v>1.2999999999999999E-2</v>
      </c>
      <c r="I59" s="41">
        <v>1.7999999999999999E-2</v>
      </c>
      <c r="J59" s="41">
        <v>2.5999999999999999E-2</v>
      </c>
      <c r="K59" s="41">
        <v>3.4000000000000002E-2</v>
      </c>
      <c r="L59" s="41">
        <v>4.7E-2</v>
      </c>
      <c r="M59" s="41">
        <v>5.8000000000000003E-2</v>
      </c>
      <c r="N59" s="41">
        <v>6.6000000000000003E-2</v>
      </c>
      <c r="O59" s="41">
        <v>8.7999999999999995E-2</v>
      </c>
      <c r="P59" s="41">
        <v>0.10299999999999999</v>
      </c>
      <c r="Q59" s="41">
        <v>0.123</v>
      </c>
      <c r="R59" s="41">
        <v>0.15</v>
      </c>
    </row>
    <row r="62" spans="1:18" x14ac:dyDescent="0.2">
      <c r="A62" s="325" t="s">
        <v>649</v>
      </c>
    </row>
    <row r="63" spans="1:18" x14ac:dyDescent="0.2">
      <c r="A63" s="41">
        <v>0</v>
      </c>
      <c r="B63" s="41">
        <v>0.2</v>
      </c>
      <c r="C63" s="41">
        <v>0.4</v>
      </c>
      <c r="D63" s="41">
        <v>0.6</v>
      </c>
      <c r="E63" s="41">
        <v>1</v>
      </c>
    </row>
    <row r="65" spans="1:11" x14ac:dyDescent="0.2">
      <c r="A65" s="325" t="s">
        <v>648</v>
      </c>
    </row>
    <row r="66" spans="1:11" x14ac:dyDescent="0.2">
      <c r="A66" s="41">
        <v>0</v>
      </c>
      <c r="B66" s="41">
        <v>1.6E-2</v>
      </c>
      <c r="C66" s="41">
        <v>0.08</v>
      </c>
      <c r="D66" s="41">
        <v>0.16</v>
      </c>
      <c r="E66" s="41">
        <v>0.3</v>
      </c>
      <c r="F66" s="41">
        <v>0.8</v>
      </c>
      <c r="G66" s="41">
        <v>1.6</v>
      </c>
      <c r="H66" s="41">
        <v>3</v>
      </c>
    </row>
    <row r="68" spans="1:11" x14ac:dyDescent="0.2">
      <c r="A68" s="325" t="s">
        <v>647</v>
      </c>
    </row>
    <row r="69" spans="1:11" x14ac:dyDescent="0.2">
      <c r="A69" s="41">
        <v>1</v>
      </c>
      <c r="B69" s="41">
        <v>1</v>
      </c>
      <c r="C69" s="41">
        <v>1</v>
      </c>
      <c r="D69" s="41">
        <v>1</v>
      </c>
      <c r="E69" s="41">
        <v>1</v>
      </c>
      <c r="F69" s="41">
        <v>1</v>
      </c>
      <c r="G69" s="41">
        <v>1</v>
      </c>
      <c r="H69" s="41">
        <v>1</v>
      </c>
    </row>
    <row r="70" spans="1:11" x14ac:dyDescent="0.2">
      <c r="A70" s="41">
        <v>1.1499999999999999</v>
      </c>
      <c r="B70" s="41">
        <v>1.1499999999999999</v>
      </c>
      <c r="C70" s="41">
        <v>1.1299999999999999</v>
      </c>
      <c r="D70" s="41">
        <v>1.1100000000000001</v>
      </c>
      <c r="E70" s="41">
        <v>1.1000000000000001</v>
      </c>
      <c r="F70" s="41">
        <v>1.0900000000000001</v>
      </c>
      <c r="G70" s="41">
        <v>1.08</v>
      </c>
      <c r="H70" s="41">
        <v>1.07</v>
      </c>
    </row>
    <row r="71" spans="1:11" x14ac:dyDescent="0.2">
      <c r="A71" s="41">
        <v>1.28</v>
      </c>
      <c r="B71" s="41">
        <v>1.28</v>
      </c>
      <c r="C71" s="41">
        <v>1.25</v>
      </c>
      <c r="D71" s="41">
        <v>1.22</v>
      </c>
      <c r="E71" s="41">
        <v>1.18</v>
      </c>
      <c r="F71" s="41">
        <v>1.1599999999999999</v>
      </c>
      <c r="G71" s="41">
        <v>1.1399999999999999</v>
      </c>
      <c r="H71" s="41">
        <v>1.1200000000000001</v>
      </c>
    </row>
    <row r="72" spans="1:11" x14ac:dyDescent="0.2">
      <c r="A72" s="41">
        <v>1.4</v>
      </c>
      <c r="B72" s="41">
        <v>1.4</v>
      </c>
      <c r="C72" s="41">
        <v>1.34</v>
      </c>
      <c r="D72" s="41">
        <v>1.29</v>
      </c>
      <c r="E72" s="41">
        <v>1.26</v>
      </c>
      <c r="F72" s="41">
        <v>1.23</v>
      </c>
      <c r="G72" s="41">
        <v>1.19</v>
      </c>
      <c r="H72" s="41">
        <v>1.1499999999999999</v>
      </c>
    </row>
    <row r="73" spans="1:11" x14ac:dyDescent="0.2">
      <c r="A73" s="41">
        <v>1.58</v>
      </c>
      <c r="B73" s="41">
        <v>1.58</v>
      </c>
      <c r="C73" s="41">
        <v>1.52</v>
      </c>
      <c r="D73" s="41">
        <v>1.44</v>
      </c>
      <c r="E73" s="41">
        <v>1.38</v>
      </c>
      <c r="F73" s="41">
        <v>1.32</v>
      </c>
      <c r="G73" s="41">
        <v>1.26</v>
      </c>
      <c r="H73" s="41">
        <v>1.2</v>
      </c>
    </row>
    <row r="76" spans="1:11" x14ac:dyDescent="0.2">
      <c r="A76" s="325" t="s">
        <v>646</v>
      </c>
    </row>
    <row r="77" spans="1:11" x14ac:dyDescent="0.2">
      <c r="A77" s="41">
        <v>0</v>
      </c>
      <c r="B77" s="41">
        <v>6.0999999999999999E-2</v>
      </c>
      <c r="C77" s="41">
        <v>9.0999999999999998E-2</v>
      </c>
      <c r="D77" s="41">
        <v>0.15</v>
      </c>
      <c r="E77" s="41">
        <v>0.23</v>
      </c>
      <c r="F77" s="41">
        <v>0.30499999999999999</v>
      </c>
      <c r="G77" s="41">
        <v>0.46</v>
      </c>
      <c r="H77" s="41">
        <v>0.61</v>
      </c>
      <c r="I77" s="41">
        <v>0.91500000000000004</v>
      </c>
      <c r="J77" s="41">
        <v>1.52</v>
      </c>
    </row>
    <row r="79" spans="1:11" x14ac:dyDescent="0.2">
      <c r="A79" s="325" t="s">
        <v>645</v>
      </c>
    </row>
    <row r="80" spans="1:11" x14ac:dyDescent="0.2">
      <c r="A80" s="41">
        <v>0</v>
      </c>
      <c r="B80" s="41">
        <v>0.1</v>
      </c>
      <c r="C80" s="41">
        <v>0.2</v>
      </c>
      <c r="D80" s="41">
        <v>0.3</v>
      </c>
      <c r="E80" s="41">
        <v>0.4</v>
      </c>
      <c r="F80" s="41">
        <v>0.5</v>
      </c>
      <c r="G80" s="41">
        <v>0.6</v>
      </c>
      <c r="H80" s="41">
        <v>0.7</v>
      </c>
      <c r="I80" s="41">
        <v>0.8</v>
      </c>
      <c r="J80" s="41">
        <v>0.9</v>
      </c>
      <c r="K80" s="41">
        <v>1</v>
      </c>
    </row>
    <row r="82" spans="1:10" x14ac:dyDescent="0.2">
      <c r="A82" s="325" t="s">
        <v>644</v>
      </c>
    </row>
    <row r="83" spans="1:10" x14ac:dyDescent="0.2">
      <c r="A83" s="325" t="s">
        <v>643</v>
      </c>
    </row>
    <row r="84" spans="1:10" x14ac:dyDescent="0.2">
      <c r="A84" s="41">
        <v>0</v>
      </c>
      <c r="B84" s="41">
        <v>0</v>
      </c>
      <c r="C84" s="41">
        <v>0</v>
      </c>
      <c r="D84" s="41">
        <v>0</v>
      </c>
      <c r="E84" s="41">
        <v>0</v>
      </c>
      <c r="F84" s="41">
        <v>0</v>
      </c>
      <c r="G84" s="41">
        <v>0</v>
      </c>
      <c r="H84" s="41">
        <v>0</v>
      </c>
      <c r="I84" s="41">
        <v>0</v>
      </c>
      <c r="J84" s="41">
        <v>0</v>
      </c>
    </row>
    <row r="85" spans="1:10" x14ac:dyDescent="0.2">
      <c r="A85" s="41">
        <v>0</v>
      </c>
      <c r="B85" s="41">
        <v>0</v>
      </c>
      <c r="C85" s="41">
        <v>0</v>
      </c>
      <c r="D85" s="41">
        <v>0</v>
      </c>
      <c r="E85" s="41">
        <v>0</v>
      </c>
      <c r="F85" s="41">
        <v>0</v>
      </c>
      <c r="G85" s="41">
        <v>0</v>
      </c>
      <c r="H85" s="41">
        <v>0</v>
      </c>
      <c r="I85" s="41">
        <v>5.0000000000000001E-3</v>
      </c>
      <c r="J85" s="41">
        <v>0.01</v>
      </c>
    </row>
    <row r="86" spans="1:10" x14ac:dyDescent="0.2">
      <c r="A86" s="41">
        <v>0</v>
      </c>
      <c r="B86" s="41">
        <v>0</v>
      </c>
      <c r="C86" s="41">
        <v>0</v>
      </c>
      <c r="D86" s="41">
        <v>0</v>
      </c>
      <c r="E86" s="41">
        <v>0</v>
      </c>
      <c r="F86" s="41">
        <v>1E-3</v>
      </c>
      <c r="G86" s="41">
        <v>3.0000000000000001E-3</v>
      </c>
      <c r="H86" s="41">
        <v>5.0000000000000001E-3</v>
      </c>
      <c r="I86" s="41">
        <v>1.2E-2</v>
      </c>
      <c r="J86" s="41">
        <v>1.7000000000000001E-2</v>
      </c>
    </row>
    <row r="87" spans="1:10" x14ac:dyDescent="0.2">
      <c r="A87" s="41">
        <v>0</v>
      </c>
      <c r="B87" s="41">
        <v>0</v>
      </c>
      <c r="C87" s="41">
        <v>0</v>
      </c>
      <c r="D87" s="41">
        <v>0</v>
      </c>
      <c r="E87" s="41">
        <v>2E-3</v>
      </c>
      <c r="F87" s="41">
        <v>4.0000000000000001E-3</v>
      </c>
      <c r="G87" s="41">
        <v>7.0000000000000001E-3</v>
      </c>
      <c r="H87" s="41">
        <v>0.01</v>
      </c>
      <c r="I87" s="41">
        <v>1.9E-2</v>
      </c>
      <c r="J87" s="41">
        <v>2.4E-2</v>
      </c>
    </row>
    <row r="88" spans="1:10" x14ac:dyDescent="0.2">
      <c r="A88" s="41">
        <v>0</v>
      </c>
      <c r="B88" s="41">
        <v>0</v>
      </c>
      <c r="C88" s="41">
        <v>0</v>
      </c>
      <c r="D88" s="41">
        <v>1E-3</v>
      </c>
      <c r="E88" s="41">
        <v>4.0000000000000001E-3</v>
      </c>
      <c r="F88" s="41">
        <v>7.0000000000000001E-3</v>
      </c>
      <c r="G88" s="41">
        <v>0.01</v>
      </c>
      <c r="H88" s="41">
        <v>1.4E-2</v>
      </c>
      <c r="I88" s="41">
        <v>2.3E-2</v>
      </c>
      <c r="J88" s="41">
        <v>3.1E-2</v>
      </c>
    </row>
    <row r="89" spans="1:10" x14ac:dyDescent="0.2">
      <c r="A89" s="41">
        <v>0</v>
      </c>
      <c r="B89" s="41">
        <v>0</v>
      </c>
      <c r="C89" s="41">
        <v>0</v>
      </c>
      <c r="D89" s="41">
        <v>3.0000000000000001E-3</v>
      </c>
      <c r="E89" s="41">
        <v>6.0000000000000001E-3</v>
      </c>
      <c r="F89" s="41">
        <v>8.9999999999999993E-3</v>
      </c>
      <c r="G89" s="41">
        <v>1.2999999999999999E-2</v>
      </c>
      <c r="H89" s="41">
        <v>1.7999999999999999E-2</v>
      </c>
      <c r="I89" s="41">
        <v>2.7E-2</v>
      </c>
      <c r="J89" s="41">
        <v>3.6999999999999998E-2</v>
      </c>
    </row>
    <row r="90" spans="1:10" x14ac:dyDescent="0.2">
      <c r="A90" s="41">
        <v>0</v>
      </c>
      <c r="B90" s="41">
        <v>0</v>
      </c>
      <c r="C90" s="41">
        <v>2E-3</v>
      </c>
      <c r="D90" s="41">
        <v>4.0000000000000001E-3</v>
      </c>
      <c r="E90" s="41">
        <v>8.0000000000000002E-3</v>
      </c>
      <c r="F90" s="41">
        <v>0.01</v>
      </c>
      <c r="G90" s="41">
        <v>1.6E-2</v>
      </c>
      <c r="H90" s="41">
        <v>2.1000000000000001E-2</v>
      </c>
      <c r="I90" s="41">
        <v>0.03</v>
      </c>
      <c r="J90" s="41">
        <v>4.2000000000000003E-2</v>
      </c>
    </row>
    <row r="91" spans="1:10" x14ac:dyDescent="0.2">
      <c r="A91" s="41">
        <v>0</v>
      </c>
      <c r="B91" s="41">
        <v>1E-3</v>
      </c>
      <c r="C91" s="41">
        <v>3.0000000000000001E-3</v>
      </c>
      <c r="D91" s="41">
        <v>5.0000000000000001E-3</v>
      </c>
      <c r="E91" s="41">
        <v>8.9999999999999993E-3</v>
      </c>
      <c r="F91" s="41">
        <v>1.2E-2</v>
      </c>
      <c r="G91" s="41">
        <v>1.7999999999999999E-2</v>
      </c>
      <c r="H91" s="41">
        <v>2.3E-2</v>
      </c>
      <c r="I91" s="41">
        <v>3.2000000000000001E-2</v>
      </c>
      <c r="J91" s="41">
        <v>4.8000000000000001E-2</v>
      </c>
    </row>
    <row r="92" spans="1:10" x14ac:dyDescent="0.2">
      <c r="A92" s="41">
        <v>0</v>
      </c>
      <c r="B92" s="41">
        <v>2E-3</v>
      </c>
      <c r="C92" s="41">
        <v>4.0000000000000001E-3</v>
      </c>
      <c r="D92" s="41">
        <v>6.0000000000000001E-3</v>
      </c>
      <c r="E92" s="41">
        <v>0.01</v>
      </c>
      <c r="F92" s="41">
        <v>1.2999999999999999E-2</v>
      </c>
      <c r="G92" s="41">
        <v>1.9E-2</v>
      </c>
      <c r="H92" s="41">
        <v>2.4E-2</v>
      </c>
      <c r="I92" s="41">
        <v>3.3000000000000002E-2</v>
      </c>
      <c r="J92" s="41">
        <v>0.05</v>
      </c>
    </row>
    <row r="93" spans="1:10" x14ac:dyDescent="0.2">
      <c r="A93" s="41">
        <v>0</v>
      </c>
      <c r="B93" s="41">
        <v>1E-3</v>
      </c>
      <c r="C93" s="41">
        <v>2E-3</v>
      </c>
      <c r="D93" s="41">
        <v>4.0000000000000001E-3</v>
      </c>
      <c r="E93" s="41">
        <v>8.0000000000000002E-3</v>
      </c>
      <c r="F93" s="41">
        <v>1.0999999999999999E-2</v>
      </c>
      <c r="G93" s="41">
        <v>1.7999999999999999E-2</v>
      </c>
      <c r="H93" s="41">
        <v>2.3E-2</v>
      </c>
      <c r="I93" s="41">
        <v>3.2000000000000001E-2</v>
      </c>
      <c r="J93" s="41">
        <v>4.8000000000000001E-2</v>
      </c>
    </row>
    <row r="94" spans="1:10" x14ac:dyDescent="0.2">
      <c r="A94" s="41">
        <v>0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41">
        <v>0</v>
      </c>
      <c r="H94" s="41">
        <v>0</v>
      </c>
      <c r="I94" s="41">
        <v>0</v>
      </c>
      <c r="J94" s="41">
        <v>0</v>
      </c>
    </row>
    <row r="97" spans="1:10" x14ac:dyDescent="0.2">
      <c r="A97" s="325" t="s">
        <v>642</v>
      </c>
    </row>
    <row r="98" spans="1:10" x14ac:dyDescent="0.2">
      <c r="A98" s="325" t="s">
        <v>641</v>
      </c>
    </row>
    <row r="99" spans="1:10" x14ac:dyDescent="0.2">
      <c r="A99" s="41">
        <v>0</v>
      </c>
      <c r="B99" s="41">
        <v>0</v>
      </c>
      <c r="C99" s="41">
        <v>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0</v>
      </c>
      <c r="J99" s="41">
        <v>0</v>
      </c>
    </row>
    <row r="100" spans="1:10" x14ac:dyDescent="0.2">
      <c r="A100" s="41">
        <v>0</v>
      </c>
      <c r="B100" s="41">
        <v>0</v>
      </c>
      <c r="C100" s="41">
        <v>0</v>
      </c>
      <c r="D100" s="41">
        <v>2E-3</v>
      </c>
      <c r="E100" s="41">
        <v>3.0000000000000001E-3</v>
      </c>
      <c r="F100" s="41">
        <v>5.0000000000000001E-3</v>
      </c>
      <c r="G100" s="41">
        <v>8.9999999999999993E-3</v>
      </c>
      <c r="H100" s="41">
        <v>1.0999999999999999E-2</v>
      </c>
      <c r="I100" s="41">
        <v>1.7000000000000001E-2</v>
      </c>
      <c r="J100" s="41">
        <v>0.02</v>
      </c>
    </row>
    <row r="101" spans="1:10" x14ac:dyDescent="0.2">
      <c r="A101" s="41">
        <v>0</v>
      </c>
      <c r="B101" s="41">
        <v>0</v>
      </c>
      <c r="C101" s="41">
        <v>1E-3</v>
      </c>
      <c r="D101" s="41">
        <v>4.0000000000000001E-3</v>
      </c>
      <c r="E101" s="41">
        <v>7.0000000000000001E-3</v>
      </c>
      <c r="F101" s="41">
        <v>0.01</v>
      </c>
      <c r="G101" s="41">
        <v>1.4E-2</v>
      </c>
      <c r="H101" s="41">
        <v>1.7000000000000001E-2</v>
      </c>
      <c r="I101" s="41">
        <v>0.02</v>
      </c>
      <c r="J101" s="41">
        <v>2.5000000000000001E-2</v>
      </c>
    </row>
    <row r="102" spans="1:10" x14ac:dyDescent="0.2">
      <c r="A102" s="41">
        <v>0</v>
      </c>
      <c r="B102" s="41">
        <v>0</v>
      </c>
      <c r="C102" s="41">
        <v>2E-3</v>
      </c>
      <c r="D102" s="41">
        <v>6.0000000000000001E-3</v>
      </c>
      <c r="E102" s="41">
        <v>8.9999999999999993E-3</v>
      </c>
      <c r="F102" s="41">
        <v>1.2E-2</v>
      </c>
      <c r="G102" s="41">
        <v>1.7000000000000001E-2</v>
      </c>
      <c r="H102" s="41">
        <v>0.02</v>
      </c>
      <c r="I102" s="41">
        <v>2.4E-2</v>
      </c>
      <c r="J102" s="41">
        <v>2.8000000000000001E-2</v>
      </c>
    </row>
    <row r="103" spans="1:10" x14ac:dyDescent="0.2">
      <c r="A103" s="41">
        <v>0</v>
      </c>
      <c r="B103" s="41">
        <v>0</v>
      </c>
      <c r="C103" s="41">
        <v>3.0000000000000001E-3</v>
      </c>
      <c r="D103" s="41">
        <v>7.0000000000000001E-3</v>
      </c>
      <c r="E103" s="41">
        <v>1.0999999999999999E-2</v>
      </c>
      <c r="F103" s="41">
        <v>1.4E-2</v>
      </c>
      <c r="G103" s="41">
        <v>0.02</v>
      </c>
      <c r="H103" s="41">
        <v>2.1999999999999999E-2</v>
      </c>
      <c r="I103" s="41">
        <v>2.7E-2</v>
      </c>
      <c r="J103" s="41">
        <v>3.1E-2</v>
      </c>
    </row>
    <row r="104" spans="1:10" x14ac:dyDescent="0.2">
      <c r="A104" s="41">
        <v>0</v>
      </c>
      <c r="B104" s="41">
        <v>1E-3</v>
      </c>
      <c r="C104" s="41">
        <v>2E-3</v>
      </c>
      <c r="D104" s="41">
        <v>8.0000000000000002E-3</v>
      </c>
      <c r="E104" s="41">
        <v>1.2E-2</v>
      </c>
      <c r="F104" s="41">
        <v>1.4999999999999999E-2</v>
      </c>
      <c r="G104" s="41">
        <v>2.1999999999999999E-2</v>
      </c>
      <c r="H104" s="41">
        <v>2.4E-2</v>
      </c>
      <c r="I104" s="41">
        <v>2.8000000000000001E-2</v>
      </c>
      <c r="J104" s="41">
        <v>3.2000000000000001E-2</v>
      </c>
    </row>
    <row r="105" spans="1:10" x14ac:dyDescent="0.2">
      <c r="A105" s="41">
        <v>0</v>
      </c>
      <c r="B105" s="41">
        <v>0</v>
      </c>
      <c r="C105" s="41">
        <v>3.0000000000000001E-3</v>
      </c>
      <c r="D105" s="41">
        <v>7.0000000000000001E-3</v>
      </c>
      <c r="E105" s="41">
        <v>1.2999999999999999E-2</v>
      </c>
      <c r="F105" s="41">
        <v>1.6E-2</v>
      </c>
      <c r="G105" s="41">
        <v>2.3E-2</v>
      </c>
      <c r="H105" s="41">
        <v>2.5000000000000001E-2</v>
      </c>
      <c r="I105" s="41">
        <v>2.9000000000000001E-2</v>
      </c>
      <c r="J105" s="41">
        <v>3.3000000000000002E-2</v>
      </c>
    </row>
    <row r="106" spans="1:10" x14ac:dyDescent="0.2">
      <c r="A106" s="41">
        <v>0</v>
      </c>
      <c r="B106" s="41">
        <v>0</v>
      </c>
      <c r="C106" s="41">
        <v>2E-3</v>
      </c>
      <c r="D106" s="41">
        <v>6.0000000000000001E-3</v>
      </c>
      <c r="E106" s="41">
        <v>1.2E-2</v>
      </c>
      <c r="F106" s="41">
        <v>1.4999999999999999E-2</v>
      </c>
      <c r="G106" s="41">
        <v>2.1999999999999999E-2</v>
      </c>
      <c r="H106" s="41">
        <v>2.5999999999999999E-2</v>
      </c>
      <c r="I106" s="41">
        <v>0.03</v>
      </c>
      <c r="J106" s="41">
        <v>3.4000000000000002E-2</v>
      </c>
    </row>
    <row r="107" spans="1:10" x14ac:dyDescent="0.2">
      <c r="A107" s="41">
        <v>0</v>
      </c>
      <c r="B107" s="41">
        <v>0</v>
      </c>
      <c r="C107" s="41">
        <v>1E-3</v>
      </c>
      <c r="D107" s="41">
        <v>4.0000000000000001E-3</v>
      </c>
      <c r="E107" s="41">
        <v>8.9999999999999993E-3</v>
      </c>
      <c r="F107" s="41">
        <v>1.2999999999999999E-2</v>
      </c>
      <c r="G107" s="41">
        <v>0.02</v>
      </c>
      <c r="H107" s="41">
        <v>2.4E-2</v>
      </c>
      <c r="I107" s="41">
        <v>2.8000000000000001E-2</v>
      </c>
      <c r="J107" s="41">
        <v>3.2000000000000001E-2</v>
      </c>
    </row>
    <row r="108" spans="1:10" x14ac:dyDescent="0.2">
      <c r="A108" s="41">
        <v>0</v>
      </c>
      <c r="B108" s="41">
        <v>0</v>
      </c>
      <c r="C108" s="41">
        <v>0</v>
      </c>
      <c r="D108" s="41">
        <v>1E-3</v>
      </c>
      <c r="E108" s="41">
        <v>4.0000000000000001E-3</v>
      </c>
      <c r="F108" s="41">
        <v>8.0000000000000002E-3</v>
      </c>
      <c r="G108" s="41">
        <v>1.2E-2</v>
      </c>
      <c r="H108" s="41">
        <v>1.7999999999999999E-2</v>
      </c>
      <c r="I108" s="41">
        <v>2.1999999999999999E-2</v>
      </c>
      <c r="J108" s="41">
        <v>2.8000000000000001E-2</v>
      </c>
    </row>
    <row r="109" spans="1:10" x14ac:dyDescent="0.2">
      <c r="A109" s="41">
        <v>0</v>
      </c>
      <c r="B109" s="41">
        <v>0</v>
      </c>
      <c r="C109" s="41">
        <v>0</v>
      </c>
      <c r="D109" s="41">
        <v>0</v>
      </c>
      <c r="E109" s="41">
        <v>0</v>
      </c>
      <c r="F109" s="41">
        <v>0</v>
      </c>
      <c r="G109" s="41">
        <v>0</v>
      </c>
      <c r="H109" s="41">
        <v>0</v>
      </c>
      <c r="I109" s="41">
        <v>0</v>
      </c>
      <c r="J109" s="41">
        <v>0</v>
      </c>
    </row>
    <row r="112" spans="1:10" x14ac:dyDescent="0.2">
      <c r="A112" s="325" t="s">
        <v>640</v>
      </c>
    </row>
    <row r="113" spans="1:10" x14ac:dyDescent="0.2">
      <c r="A113" s="325" t="s">
        <v>639</v>
      </c>
    </row>
    <row r="114" spans="1:10" x14ac:dyDescent="0.2">
      <c r="A114" s="41">
        <v>0</v>
      </c>
      <c r="B114" s="41">
        <v>0</v>
      </c>
      <c r="C114" s="41">
        <v>0</v>
      </c>
      <c r="D114" s="41">
        <v>0</v>
      </c>
      <c r="E114" s="41">
        <v>0</v>
      </c>
      <c r="F114" s="41">
        <v>0</v>
      </c>
      <c r="G114" s="41">
        <v>0</v>
      </c>
      <c r="H114" s="41">
        <v>0</v>
      </c>
      <c r="I114" s="41">
        <v>0</v>
      </c>
      <c r="J114" s="41">
        <v>0</v>
      </c>
    </row>
    <row r="115" spans="1:10" x14ac:dyDescent="0.2">
      <c r="A115" s="41">
        <v>0</v>
      </c>
      <c r="B115" s="41">
        <v>0</v>
      </c>
      <c r="C115" s="41">
        <v>0</v>
      </c>
      <c r="D115" s="41">
        <v>0</v>
      </c>
      <c r="E115" s="41">
        <v>1E-3</v>
      </c>
      <c r="F115" s="41">
        <v>1.2999999999999999E-2</v>
      </c>
      <c r="G115" s="41">
        <v>0.02</v>
      </c>
      <c r="H115" s="41">
        <v>0.03</v>
      </c>
      <c r="I115" s="41">
        <v>3.7999999999999999E-2</v>
      </c>
      <c r="J115" s="41">
        <v>4.2999999999999997E-2</v>
      </c>
    </row>
    <row r="116" spans="1:10" x14ac:dyDescent="0.2">
      <c r="A116" s="41">
        <v>0</v>
      </c>
      <c r="B116" s="41">
        <v>0</v>
      </c>
      <c r="C116" s="41">
        <v>0</v>
      </c>
      <c r="D116" s="41">
        <v>5.0000000000000001E-3</v>
      </c>
      <c r="E116" s="41">
        <v>1.2E-2</v>
      </c>
      <c r="F116" s="41">
        <v>2.1000000000000001E-2</v>
      </c>
      <c r="G116" s="41">
        <v>0.03</v>
      </c>
      <c r="H116" s="41">
        <v>0.04</v>
      </c>
      <c r="I116" s="41">
        <v>4.4999999999999998E-2</v>
      </c>
      <c r="J116" s="41">
        <v>0.05</v>
      </c>
    </row>
    <row r="117" spans="1:10" x14ac:dyDescent="0.2">
      <c r="A117" s="41">
        <v>0</v>
      </c>
      <c r="B117" s="41">
        <v>0</v>
      </c>
      <c r="C117" s="41">
        <v>2E-3</v>
      </c>
      <c r="D117" s="41">
        <v>0.01</v>
      </c>
      <c r="E117" s="41">
        <v>0.02</v>
      </c>
      <c r="F117" s="41">
        <v>0.03</v>
      </c>
      <c r="G117" s="41">
        <v>3.7999999999999999E-2</v>
      </c>
      <c r="H117" s="41">
        <v>4.2999999999999997E-2</v>
      </c>
      <c r="I117" s="41">
        <v>4.9000000000000002E-2</v>
      </c>
      <c r="J117" s="41">
        <v>5.1999999999999998E-2</v>
      </c>
    </row>
    <row r="118" spans="1:10" x14ac:dyDescent="0.2">
      <c r="A118" s="41">
        <v>0</v>
      </c>
      <c r="B118" s="41">
        <v>1E-3</v>
      </c>
      <c r="C118" s="41">
        <v>3.0000000000000001E-3</v>
      </c>
      <c r="D118" s="41">
        <v>1.7000000000000001E-2</v>
      </c>
      <c r="E118" s="41">
        <v>0.03</v>
      </c>
      <c r="F118" s="41">
        <v>3.7999999999999999E-2</v>
      </c>
      <c r="G118" s="41">
        <v>4.2000000000000003E-2</v>
      </c>
      <c r="H118" s="41">
        <v>4.3999999999999997E-2</v>
      </c>
      <c r="I118" s="41">
        <v>0.05</v>
      </c>
      <c r="J118" s="41">
        <v>5.2999999999999999E-2</v>
      </c>
    </row>
    <row r="119" spans="1:10" x14ac:dyDescent="0.2">
      <c r="A119" s="41">
        <v>0</v>
      </c>
      <c r="B119" s="41">
        <v>2E-3</v>
      </c>
      <c r="C119" s="41">
        <v>4.0000000000000001E-3</v>
      </c>
      <c r="D119" s="41">
        <v>0.02</v>
      </c>
      <c r="E119" s="41">
        <v>3.2000000000000001E-2</v>
      </c>
      <c r="F119" s="41">
        <v>3.9E-2</v>
      </c>
      <c r="G119" s="41">
        <v>4.2999999999999997E-2</v>
      </c>
      <c r="H119" s="41">
        <v>4.4999999999999998E-2</v>
      </c>
      <c r="I119" s="41">
        <v>5.0999999999999997E-2</v>
      </c>
      <c r="J119" s="41">
        <v>5.3999999999999999E-2</v>
      </c>
    </row>
    <row r="120" spans="1:10" x14ac:dyDescent="0.2">
      <c r="A120" s="41">
        <v>0</v>
      </c>
      <c r="B120" s="41">
        <v>1E-3</v>
      </c>
      <c r="C120" s="41">
        <v>3.0000000000000001E-3</v>
      </c>
      <c r="D120" s="41">
        <v>1.7999999999999999E-2</v>
      </c>
      <c r="E120" s="41">
        <v>0.03</v>
      </c>
      <c r="F120" s="41">
        <v>0.04</v>
      </c>
      <c r="G120" s="41">
        <v>4.2000000000000003E-2</v>
      </c>
      <c r="H120" s="41">
        <v>4.5999999999999999E-2</v>
      </c>
      <c r="I120" s="41">
        <v>5.1999999999999998E-2</v>
      </c>
      <c r="J120" s="41">
        <v>5.5E-2</v>
      </c>
    </row>
    <row r="121" spans="1:10" x14ac:dyDescent="0.2">
      <c r="A121" s="41">
        <v>0</v>
      </c>
      <c r="B121" s="41">
        <v>0</v>
      </c>
      <c r="C121" s="41">
        <v>2E-3</v>
      </c>
      <c r="D121" s="41">
        <v>1.2E-2</v>
      </c>
      <c r="E121" s="41">
        <v>2.4E-2</v>
      </c>
      <c r="F121" s="41">
        <v>3.4000000000000002E-2</v>
      </c>
      <c r="G121" s="41">
        <v>4.1000000000000002E-2</v>
      </c>
      <c r="H121" s="41">
        <v>4.2999999999999997E-2</v>
      </c>
      <c r="I121" s="41">
        <v>5.0999999999999997E-2</v>
      </c>
      <c r="J121" s="41">
        <v>5.3999999999999999E-2</v>
      </c>
    </row>
    <row r="122" spans="1:10" x14ac:dyDescent="0.2">
      <c r="A122" s="41">
        <v>0</v>
      </c>
      <c r="B122" s="41">
        <v>0</v>
      </c>
      <c r="C122" s="41">
        <v>1E-3</v>
      </c>
      <c r="D122" s="41">
        <v>5.0000000000000001E-3</v>
      </c>
      <c r="E122" s="41">
        <v>1.4E-2</v>
      </c>
      <c r="F122" s="41">
        <v>2.5000000000000001E-2</v>
      </c>
      <c r="G122" s="41">
        <v>3.5000000000000003E-2</v>
      </c>
      <c r="H122" s="41">
        <v>4.1000000000000002E-2</v>
      </c>
      <c r="I122" s="41">
        <v>4.9000000000000002E-2</v>
      </c>
      <c r="J122" s="41">
        <v>5.1999999999999998E-2</v>
      </c>
    </row>
    <row r="123" spans="1:10" x14ac:dyDescent="0.2">
      <c r="A123" s="41">
        <v>0</v>
      </c>
      <c r="B123" s="41">
        <v>0</v>
      </c>
      <c r="C123" s="41">
        <v>0</v>
      </c>
      <c r="D123" s="41">
        <v>0</v>
      </c>
      <c r="E123" s="41">
        <v>6.0000000000000001E-3</v>
      </c>
      <c r="F123" s="41">
        <v>1.0999999999999999E-2</v>
      </c>
      <c r="G123" s="41">
        <v>0.02</v>
      </c>
      <c r="H123" s="41">
        <v>0.03</v>
      </c>
      <c r="I123" s="41">
        <v>4.1000000000000002E-2</v>
      </c>
      <c r="J123" s="41">
        <v>4.9000000000000002E-2</v>
      </c>
    </row>
    <row r="124" spans="1:10" x14ac:dyDescent="0.2">
      <c r="A124" s="41">
        <v>0</v>
      </c>
      <c r="B124" s="41">
        <v>0</v>
      </c>
      <c r="C124" s="41">
        <v>0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09E0D-C619-4D57-A026-1175345F084E}">
  <sheetPr codeName="Feuil17"/>
  <dimension ref="A1:T5236"/>
  <sheetViews>
    <sheetView workbookViewId="0">
      <selection activeCell="E93" sqref="E93"/>
    </sheetView>
  </sheetViews>
  <sheetFormatPr baseColWidth="10" defaultColWidth="18.85546875" defaultRowHeight="12.75" x14ac:dyDescent="0.2"/>
  <cols>
    <col min="1" max="1" width="46.140625" customWidth="1"/>
    <col min="2" max="2" width="42.140625" bestFit="1" customWidth="1"/>
    <col min="4" max="4" width="21.42578125" bestFit="1" customWidth="1"/>
    <col min="5" max="5" width="41.42578125" customWidth="1"/>
  </cols>
  <sheetData>
    <row r="1" spans="1:20" x14ac:dyDescent="0.2">
      <c r="A1">
        <v>160</v>
      </c>
    </row>
    <row r="2" spans="1:20" x14ac:dyDescent="0.2">
      <c r="A2" t="s">
        <v>718</v>
      </c>
      <c r="D2" s="312"/>
      <c r="F2" s="312"/>
      <c r="H2" s="312"/>
      <c r="I2" s="312"/>
      <c r="M2" s="312"/>
      <c r="T2" s="312"/>
    </row>
    <row r="3" spans="1:20" x14ac:dyDescent="0.2">
      <c r="A3" t="s">
        <v>719</v>
      </c>
      <c r="D3" s="312"/>
      <c r="F3" s="312"/>
      <c r="H3" s="312"/>
      <c r="I3" s="312"/>
      <c r="M3" s="312"/>
      <c r="T3" s="312"/>
    </row>
    <row r="4" spans="1:20" x14ac:dyDescent="0.2">
      <c r="A4" t="s">
        <v>720</v>
      </c>
      <c r="D4" s="312"/>
      <c r="F4" s="312"/>
      <c r="H4" s="312"/>
      <c r="I4" s="312"/>
      <c r="M4" s="312"/>
      <c r="T4" s="312"/>
    </row>
    <row r="5" spans="1:20" x14ac:dyDescent="0.2">
      <c r="A5" t="s">
        <v>721</v>
      </c>
      <c r="D5" s="312"/>
      <c r="F5" s="312"/>
      <c r="H5" s="312"/>
      <c r="I5" s="312"/>
      <c r="M5" s="312"/>
      <c r="T5" s="312"/>
    </row>
    <row r="6" spans="1:20" x14ac:dyDescent="0.2">
      <c r="A6" t="s">
        <v>722</v>
      </c>
      <c r="D6" s="312"/>
      <c r="F6" s="312"/>
      <c r="H6" s="312"/>
      <c r="I6" s="312"/>
      <c r="M6" s="312"/>
      <c r="T6" s="312"/>
    </row>
    <row r="7" spans="1:20" x14ac:dyDescent="0.2">
      <c r="A7" t="s">
        <v>723</v>
      </c>
      <c r="D7" s="312"/>
      <c r="F7" s="312"/>
      <c r="H7" s="312"/>
      <c r="I7" s="312"/>
      <c r="M7" s="312"/>
      <c r="T7" s="312"/>
    </row>
    <row r="8" spans="1:20" x14ac:dyDescent="0.2">
      <c r="A8" t="s">
        <v>724</v>
      </c>
      <c r="D8" s="312"/>
      <c r="F8" s="312"/>
      <c r="H8" s="312"/>
      <c r="I8" s="312"/>
      <c r="M8" s="312"/>
      <c r="T8" s="312"/>
    </row>
    <row r="9" spans="1:20" x14ac:dyDescent="0.2">
      <c r="A9" t="s">
        <v>725</v>
      </c>
      <c r="D9" s="312"/>
      <c r="F9" s="312"/>
      <c r="H9" s="312"/>
      <c r="I9" s="312"/>
      <c r="M9" s="312"/>
      <c r="T9" s="312"/>
    </row>
    <row r="10" spans="1:20" x14ac:dyDescent="0.2">
      <c r="A10" t="s">
        <v>726</v>
      </c>
      <c r="D10" s="312"/>
      <c r="F10" s="312"/>
      <c r="H10" s="312"/>
      <c r="I10" s="312"/>
      <c r="M10" s="312"/>
      <c r="T10" s="312"/>
    </row>
    <row r="11" spans="1:20" x14ac:dyDescent="0.2">
      <c r="A11" t="s">
        <v>727</v>
      </c>
      <c r="D11" s="312"/>
      <c r="F11" s="312"/>
      <c r="H11" s="312"/>
      <c r="I11" s="312"/>
      <c r="M11" s="312"/>
      <c r="T11" s="312"/>
    </row>
    <row r="12" spans="1:20" x14ac:dyDescent="0.2">
      <c r="A12" t="s">
        <v>728</v>
      </c>
      <c r="D12" s="312"/>
      <c r="F12" s="312"/>
      <c r="H12" s="312"/>
      <c r="I12" s="312"/>
      <c r="M12" s="312"/>
      <c r="T12" s="312"/>
    </row>
    <row r="13" spans="1:20" x14ac:dyDescent="0.2">
      <c r="A13" t="s">
        <v>729</v>
      </c>
      <c r="D13" s="312"/>
      <c r="F13" s="312"/>
      <c r="H13" s="312"/>
      <c r="I13" s="312"/>
      <c r="M13" s="312"/>
      <c r="T13" s="312"/>
    </row>
    <row r="14" spans="1:20" x14ac:dyDescent="0.2">
      <c r="A14" t="s">
        <v>730</v>
      </c>
      <c r="D14" s="312"/>
      <c r="F14" s="312"/>
      <c r="H14" s="312"/>
      <c r="I14" s="312"/>
      <c r="M14" s="312"/>
      <c r="T14" s="312"/>
    </row>
    <row r="15" spans="1:20" x14ac:dyDescent="0.2">
      <c r="A15" t="s">
        <v>731</v>
      </c>
      <c r="D15" s="312"/>
      <c r="F15" s="312"/>
      <c r="H15" s="312"/>
      <c r="I15" s="312"/>
      <c r="M15" s="312"/>
      <c r="T15" s="312"/>
    </row>
    <row r="16" spans="1:20" x14ac:dyDescent="0.2">
      <c r="A16" t="s">
        <v>732</v>
      </c>
      <c r="D16" s="312"/>
      <c r="F16" s="312"/>
      <c r="H16" s="312"/>
      <c r="I16" s="312"/>
      <c r="M16" s="312"/>
      <c r="T16" s="312"/>
    </row>
    <row r="17" spans="1:20" x14ac:dyDescent="0.2">
      <c r="A17" t="s">
        <v>733</v>
      </c>
      <c r="D17" s="312"/>
      <c r="F17" s="312"/>
      <c r="H17" s="312"/>
      <c r="I17" s="312"/>
      <c r="M17" s="312"/>
      <c r="T17" s="312"/>
    </row>
    <row r="18" spans="1:20" x14ac:dyDescent="0.2">
      <c r="A18" t="s">
        <v>734</v>
      </c>
      <c r="D18" s="312"/>
      <c r="F18" s="312"/>
      <c r="H18" s="312"/>
      <c r="I18" s="312"/>
      <c r="M18" s="312"/>
      <c r="T18" s="312"/>
    </row>
    <row r="19" spans="1:20" x14ac:dyDescent="0.2">
      <c r="A19" t="s">
        <v>735</v>
      </c>
      <c r="D19" s="312"/>
      <c r="F19" s="312"/>
      <c r="H19" s="312"/>
      <c r="I19" s="312"/>
      <c r="M19" s="312"/>
      <c r="T19" s="312"/>
    </row>
    <row r="20" spans="1:20" x14ac:dyDescent="0.2">
      <c r="A20" t="s">
        <v>736</v>
      </c>
      <c r="D20" s="312"/>
      <c r="F20" s="312"/>
      <c r="H20" s="312"/>
      <c r="I20" s="312"/>
      <c r="M20" s="312"/>
      <c r="T20" s="312"/>
    </row>
    <row r="21" spans="1:20" x14ac:dyDescent="0.2">
      <c r="A21" t="s">
        <v>737</v>
      </c>
      <c r="D21" s="312"/>
      <c r="F21" s="312"/>
      <c r="H21" s="312"/>
      <c r="I21" s="312"/>
      <c r="M21" s="312"/>
      <c r="T21" s="312"/>
    </row>
    <row r="22" spans="1:20" x14ac:dyDescent="0.2">
      <c r="A22" t="s">
        <v>738</v>
      </c>
      <c r="D22" s="312"/>
      <c r="F22" s="312"/>
      <c r="H22" s="312"/>
      <c r="I22" s="312"/>
      <c r="M22" s="312"/>
      <c r="T22" s="312"/>
    </row>
    <row r="23" spans="1:20" x14ac:dyDescent="0.2">
      <c r="A23" t="s">
        <v>739</v>
      </c>
      <c r="D23" s="312"/>
      <c r="F23" s="312"/>
      <c r="H23" s="312"/>
      <c r="M23" s="312"/>
      <c r="T23" s="312"/>
    </row>
    <row r="24" spans="1:20" x14ac:dyDescent="0.2">
      <c r="A24" t="s">
        <v>740</v>
      </c>
      <c r="D24" s="312"/>
      <c r="F24" s="312"/>
      <c r="H24" s="312"/>
      <c r="M24" s="312"/>
      <c r="T24" s="312"/>
    </row>
    <row r="25" spans="1:20" x14ac:dyDescent="0.2">
      <c r="A25" t="s">
        <v>741</v>
      </c>
      <c r="D25" s="312"/>
      <c r="F25" s="312"/>
      <c r="H25" s="312"/>
      <c r="M25" s="312"/>
      <c r="T25" s="312"/>
    </row>
    <row r="26" spans="1:20" x14ac:dyDescent="0.2">
      <c r="A26" t="s">
        <v>742</v>
      </c>
      <c r="D26" s="312"/>
      <c r="F26" s="312"/>
      <c r="H26" s="312"/>
      <c r="M26" s="312"/>
      <c r="T26" s="312"/>
    </row>
    <row r="27" spans="1:20" x14ac:dyDescent="0.2">
      <c r="A27" t="s">
        <v>743</v>
      </c>
      <c r="D27" s="312"/>
      <c r="F27" s="312"/>
      <c r="H27" s="312"/>
      <c r="M27" s="312"/>
      <c r="T27" s="312"/>
    </row>
    <row r="28" spans="1:20" x14ac:dyDescent="0.2">
      <c r="A28" t="s">
        <v>744</v>
      </c>
      <c r="D28" s="312"/>
      <c r="F28" s="312"/>
      <c r="H28" s="312"/>
      <c r="M28" s="312"/>
      <c r="T28" s="312"/>
    </row>
    <row r="29" spans="1:20" x14ac:dyDescent="0.2">
      <c r="A29" t="s">
        <v>745</v>
      </c>
      <c r="D29" s="312"/>
      <c r="F29" s="312"/>
      <c r="H29" s="312"/>
      <c r="M29" s="312"/>
      <c r="T29" s="312"/>
    </row>
    <row r="30" spans="1:20" x14ac:dyDescent="0.2">
      <c r="A30" t="s">
        <v>746</v>
      </c>
      <c r="D30" s="312"/>
      <c r="F30" s="312"/>
      <c r="H30" s="312"/>
      <c r="M30" s="312"/>
      <c r="T30" s="312"/>
    </row>
    <row r="31" spans="1:20" x14ac:dyDescent="0.2">
      <c r="A31" t="s">
        <v>747</v>
      </c>
      <c r="D31" s="312"/>
      <c r="F31" s="312"/>
      <c r="H31" s="312"/>
      <c r="M31" s="312"/>
      <c r="T31" s="312"/>
    </row>
    <row r="32" spans="1:20" x14ac:dyDescent="0.2">
      <c r="A32" t="s">
        <v>748</v>
      </c>
      <c r="D32" s="312"/>
      <c r="F32" s="312"/>
      <c r="H32" s="312"/>
      <c r="M32" s="312"/>
      <c r="T32" s="312"/>
    </row>
    <row r="33" spans="1:20" x14ac:dyDescent="0.2">
      <c r="A33" t="s">
        <v>749</v>
      </c>
      <c r="D33" s="312"/>
      <c r="F33" s="312"/>
      <c r="H33" s="312"/>
      <c r="M33" s="312"/>
      <c r="T33" s="312"/>
    </row>
    <row r="34" spans="1:20" x14ac:dyDescent="0.2">
      <c r="A34" t="s">
        <v>750</v>
      </c>
      <c r="D34" s="312"/>
      <c r="F34" s="312"/>
      <c r="H34" s="312"/>
      <c r="M34" s="312"/>
      <c r="T34" s="312"/>
    </row>
    <row r="35" spans="1:20" x14ac:dyDescent="0.2">
      <c r="A35" t="s">
        <v>751</v>
      </c>
      <c r="D35" s="312"/>
      <c r="F35" s="312"/>
      <c r="H35" s="312"/>
      <c r="M35" s="312"/>
      <c r="T35" s="312"/>
    </row>
    <row r="36" spans="1:20" x14ac:dyDescent="0.2">
      <c r="A36" t="s">
        <v>752</v>
      </c>
      <c r="D36" s="312"/>
      <c r="F36" s="312"/>
      <c r="H36" s="312"/>
      <c r="M36" s="312"/>
      <c r="T36" s="312"/>
    </row>
    <row r="37" spans="1:20" x14ac:dyDescent="0.2">
      <c r="A37" t="s">
        <v>753</v>
      </c>
      <c r="D37" s="312"/>
      <c r="F37" s="312"/>
      <c r="H37" s="312"/>
      <c r="M37" s="312"/>
      <c r="T37" s="312"/>
    </row>
    <row r="38" spans="1:20" x14ac:dyDescent="0.2">
      <c r="A38" t="s">
        <v>754</v>
      </c>
      <c r="D38" s="312"/>
      <c r="F38" s="312"/>
      <c r="H38" s="312"/>
      <c r="M38" s="312"/>
      <c r="T38" s="312"/>
    </row>
    <row r="39" spans="1:20" x14ac:dyDescent="0.2">
      <c r="A39" t="s">
        <v>755</v>
      </c>
      <c r="D39" s="312"/>
      <c r="F39" s="312"/>
      <c r="H39" s="312"/>
      <c r="M39" s="312"/>
      <c r="T39" s="312"/>
    </row>
    <row r="40" spans="1:20" x14ac:dyDescent="0.2">
      <c r="A40" t="s">
        <v>756</v>
      </c>
      <c r="D40" s="312"/>
      <c r="F40" s="312"/>
      <c r="H40" s="312"/>
      <c r="M40" s="312"/>
      <c r="T40" s="312"/>
    </row>
    <row r="41" spans="1:20" x14ac:dyDescent="0.2">
      <c r="A41" t="s">
        <v>757</v>
      </c>
      <c r="D41" s="312"/>
      <c r="F41" s="312"/>
      <c r="H41" s="312"/>
      <c r="M41" s="312"/>
      <c r="T41" s="312"/>
    </row>
    <row r="42" spans="1:20" x14ac:dyDescent="0.2">
      <c r="A42" t="s">
        <v>758</v>
      </c>
      <c r="D42" s="312"/>
      <c r="F42" s="312"/>
      <c r="H42" s="312"/>
      <c r="M42" s="312"/>
      <c r="T42" s="312"/>
    </row>
    <row r="43" spans="1:20" x14ac:dyDescent="0.2">
      <c r="A43" t="s">
        <v>759</v>
      </c>
      <c r="D43" s="312"/>
      <c r="F43" s="312"/>
      <c r="H43" s="312"/>
      <c r="M43" s="312"/>
      <c r="T43" s="312"/>
    </row>
    <row r="44" spans="1:20" x14ac:dyDescent="0.2">
      <c r="A44" t="s">
        <v>760</v>
      </c>
      <c r="D44" s="312"/>
      <c r="F44" s="312"/>
      <c r="H44" s="312"/>
      <c r="M44" s="312"/>
      <c r="T44" s="312"/>
    </row>
    <row r="45" spans="1:20" x14ac:dyDescent="0.2">
      <c r="A45" t="s">
        <v>761</v>
      </c>
      <c r="D45" s="312"/>
      <c r="F45" s="312"/>
      <c r="H45" s="312"/>
      <c r="M45" s="312"/>
      <c r="T45" s="312"/>
    </row>
    <row r="46" spans="1:20" x14ac:dyDescent="0.2">
      <c r="A46" t="s">
        <v>762</v>
      </c>
      <c r="D46" s="312"/>
      <c r="F46" s="312"/>
      <c r="H46" s="312"/>
      <c r="M46" s="312"/>
      <c r="T46" s="312"/>
    </row>
    <row r="47" spans="1:20" x14ac:dyDescent="0.2">
      <c r="A47" t="s">
        <v>763</v>
      </c>
      <c r="D47" s="312"/>
      <c r="F47" s="312"/>
      <c r="H47" s="312"/>
      <c r="M47" s="312"/>
      <c r="T47" s="312"/>
    </row>
    <row r="48" spans="1:20" x14ac:dyDescent="0.2">
      <c r="A48" t="s">
        <v>764</v>
      </c>
      <c r="D48" s="312"/>
      <c r="F48" s="312"/>
      <c r="H48" s="312"/>
      <c r="M48" s="312"/>
      <c r="T48" s="312"/>
    </row>
    <row r="49" spans="1:20" x14ac:dyDescent="0.2">
      <c r="A49" t="s">
        <v>765</v>
      </c>
      <c r="D49" s="312"/>
      <c r="F49" s="312"/>
      <c r="H49" s="312"/>
      <c r="M49" s="312"/>
      <c r="T49" s="312"/>
    </row>
    <row r="50" spans="1:20" x14ac:dyDescent="0.2">
      <c r="A50" t="s">
        <v>766</v>
      </c>
      <c r="D50" s="312"/>
      <c r="F50" s="312"/>
      <c r="H50" s="312"/>
      <c r="M50" s="312"/>
      <c r="T50" s="312"/>
    </row>
    <row r="51" spans="1:20" x14ac:dyDescent="0.2">
      <c r="A51" t="s">
        <v>767</v>
      </c>
      <c r="D51" s="312"/>
      <c r="F51" s="312"/>
      <c r="H51" s="312"/>
      <c r="M51" s="312"/>
      <c r="T51" s="312"/>
    </row>
    <row r="52" spans="1:20" x14ac:dyDescent="0.2">
      <c r="A52" t="s">
        <v>768</v>
      </c>
      <c r="D52" s="312"/>
      <c r="F52" s="312"/>
      <c r="H52" s="312"/>
      <c r="M52" s="312"/>
      <c r="T52" s="312"/>
    </row>
    <row r="53" spans="1:20" x14ac:dyDescent="0.2">
      <c r="A53" t="s">
        <v>769</v>
      </c>
      <c r="D53" s="312"/>
      <c r="F53" s="312"/>
      <c r="H53" s="312"/>
      <c r="M53" s="312"/>
      <c r="T53" s="312"/>
    </row>
    <row r="54" spans="1:20" x14ac:dyDescent="0.2">
      <c r="A54" t="s">
        <v>770</v>
      </c>
      <c r="D54" s="312"/>
      <c r="F54" s="312"/>
      <c r="H54" s="312"/>
      <c r="M54" s="312"/>
      <c r="T54" s="312"/>
    </row>
    <row r="55" spans="1:20" x14ac:dyDescent="0.2">
      <c r="A55" t="s">
        <v>771</v>
      </c>
      <c r="D55" s="312"/>
      <c r="F55" s="312"/>
      <c r="H55" s="312"/>
      <c r="M55" s="312"/>
      <c r="T55" s="312"/>
    </row>
    <row r="56" spans="1:20" x14ac:dyDescent="0.2">
      <c r="A56" t="s">
        <v>772</v>
      </c>
      <c r="D56" s="312"/>
      <c r="F56" s="312"/>
      <c r="H56" s="312"/>
      <c r="M56" s="312"/>
      <c r="T56" s="312"/>
    </row>
    <row r="57" spans="1:20" x14ac:dyDescent="0.2">
      <c r="A57" t="s">
        <v>773</v>
      </c>
      <c r="D57" s="312"/>
      <c r="F57" s="312"/>
      <c r="H57" s="312"/>
      <c r="M57" s="312"/>
      <c r="T57" s="312"/>
    </row>
    <row r="58" spans="1:20" x14ac:dyDescent="0.2">
      <c r="A58" t="s">
        <v>774</v>
      </c>
      <c r="D58" s="312"/>
      <c r="F58" s="312"/>
      <c r="H58" s="312"/>
      <c r="M58" s="312"/>
      <c r="T58" s="312"/>
    </row>
    <row r="59" spans="1:20" x14ac:dyDescent="0.2">
      <c r="A59" t="s">
        <v>775</v>
      </c>
      <c r="D59" s="312"/>
      <c r="F59" s="312"/>
      <c r="H59" s="312"/>
      <c r="M59" s="312"/>
      <c r="T59" s="312"/>
    </row>
    <row r="60" spans="1:20" x14ac:dyDescent="0.2">
      <c r="A60" t="s">
        <v>776</v>
      </c>
      <c r="D60" s="312"/>
      <c r="F60" s="312"/>
      <c r="H60" s="312"/>
      <c r="M60" s="312"/>
      <c r="T60" s="312"/>
    </row>
    <row r="61" spans="1:20" x14ac:dyDescent="0.2">
      <c r="A61" t="s">
        <v>777</v>
      </c>
      <c r="D61" s="312"/>
      <c r="F61" s="312"/>
      <c r="H61" s="312"/>
      <c r="M61" s="312"/>
      <c r="T61" s="312"/>
    </row>
    <row r="62" spans="1:20" x14ac:dyDescent="0.2">
      <c r="A62" t="s">
        <v>778</v>
      </c>
      <c r="D62" s="312"/>
      <c r="F62" s="312"/>
      <c r="H62" s="312"/>
      <c r="M62" s="312"/>
      <c r="T62" s="312"/>
    </row>
    <row r="63" spans="1:20" x14ac:dyDescent="0.2">
      <c r="A63" t="s">
        <v>779</v>
      </c>
      <c r="D63" s="312"/>
      <c r="F63" s="312"/>
      <c r="H63" s="312"/>
      <c r="M63" s="312"/>
      <c r="T63" s="312"/>
    </row>
    <row r="64" spans="1:20" x14ac:dyDescent="0.2">
      <c r="A64" t="s">
        <v>780</v>
      </c>
      <c r="D64" s="312"/>
      <c r="F64" s="312"/>
      <c r="H64" s="312"/>
      <c r="M64" s="312"/>
      <c r="T64" s="312"/>
    </row>
    <row r="65" spans="1:20" x14ac:dyDescent="0.2">
      <c r="A65" t="s">
        <v>781</v>
      </c>
      <c r="D65" s="312"/>
      <c r="F65" s="312"/>
      <c r="H65" s="312"/>
      <c r="M65" s="312"/>
      <c r="T65" s="312"/>
    </row>
    <row r="66" spans="1:20" x14ac:dyDescent="0.2">
      <c r="A66" t="s">
        <v>782</v>
      </c>
      <c r="D66" s="312"/>
      <c r="F66" s="312"/>
      <c r="H66" s="312"/>
      <c r="M66" s="312"/>
      <c r="T66" s="312"/>
    </row>
    <row r="67" spans="1:20" x14ac:dyDescent="0.2">
      <c r="A67" t="s">
        <v>783</v>
      </c>
      <c r="D67" s="312"/>
      <c r="F67" s="312"/>
      <c r="H67" s="312"/>
      <c r="M67" s="312"/>
      <c r="T67" s="312"/>
    </row>
    <row r="68" spans="1:20" x14ac:dyDescent="0.2">
      <c r="A68" t="s">
        <v>784</v>
      </c>
      <c r="D68" s="312"/>
      <c r="F68" s="312"/>
      <c r="H68" s="312"/>
      <c r="M68" s="312"/>
      <c r="T68" s="312"/>
    </row>
    <row r="69" spans="1:20" x14ac:dyDescent="0.2">
      <c r="A69" t="s">
        <v>785</v>
      </c>
      <c r="D69" s="312"/>
      <c r="F69" s="312"/>
      <c r="H69" s="312"/>
      <c r="M69" s="312"/>
      <c r="T69" s="312"/>
    </row>
    <row r="70" spans="1:20" x14ac:dyDescent="0.2">
      <c r="A70" t="s">
        <v>786</v>
      </c>
      <c r="D70" s="312"/>
      <c r="F70" s="312"/>
      <c r="H70" s="312"/>
      <c r="M70" s="312"/>
      <c r="T70" s="312"/>
    </row>
    <row r="71" spans="1:20" x14ac:dyDescent="0.2">
      <c r="A71" t="s">
        <v>787</v>
      </c>
      <c r="D71" s="312"/>
      <c r="F71" s="312"/>
      <c r="H71" s="312"/>
      <c r="M71" s="312"/>
      <c r="T71" s="312"/>
    </row>
    <row r="72" spans="1:20" x14ac:dyDescent="0.2">
      <c r="A72" t="s">
        <v>788</v>
      </c>
      <c r="D72" s="312"/>
      <c r="F72" s="312"/>
      <c r="H72" s="312"/>
      <c r="M72" s="312"/>
      <c r="T72" s="312"/>
    </row>
    <row r="73" spans="1:20" x14ac:dyDescent="0.2">
      <c r="A73" t="s">
        <v>789</v>
      </c>
      <c r="D73" s="312"/>
      <c r="F73" s="312"/>
      <c r="H73" s="312"/>
      <c r="M73" s="312"/>
      <c r="T73" s="312"/>
    </row>
    <row r="74" spans="1:20" x14ac:dyDescent="0.2">
      <c r="A74" t="s">
        <v>790</v>
      </c>
      <c r="D74" s="312"/>
      <c r="F74" s="312"/>
      <c r="H74" s="312"/>
      <c r="M74" s="312"/>
      <c r="T74" s="312"/>
    </row>
    <row r="75" spans="1:20" x14ac:dyDescent="0.2">
      <c r="A75" t="s">
        <v>791</v>
      </c>
      <c r="D75" s="312"/>
      <c r="F75" s="312"/>
      <c r="H75" s="312"/>
      <c r="M75" s="312"/>
      <c r="T75" s="312"/>
    </row>
    <row r="76" spans="1:20" x14ac:dyDescent="0.2">
      <c r="A76" t="s">
        <v>792</v>
      </c>
      <c r="D76" s="312"/>
      <c r="F76" s="312"/>
      <c r="H76" s="312"/>
      <c r="M76" s="312"/>
      <c r="T76" s="312"/>
    </row>
    <row r="77" spans="1:20" x14ac:dyDescent="0.2">
      <c r="A77" t="s">
        <v>793</v>
      </c>
      <c r="D77" s="312"/>
      <c r="F77" s="312"/>
      <c r="H77" s="312"/>
      <c r="M77" s="312"/>
      <c r="T77" s="312"/>
    </row>
    <row r="78" spans="1:20" x14ac:dyDescent="0.2">
      <c r="A78" t="s">
        <v>794</v>
      </c>
      <c r="D78" s="312"/>
      <c r="F78" s="312"/>
      <c r="H78" s="312"/>
      <c r="M78" s="312"/>
      <c r="T78" s="312"/>
    </row>
    <row r="79" spans="1:20" x14ac:dyDescent="0.2">
      <c r="A79" t="s">
        <v>795</v>
      </c>
      <c r="D79" s="312"/>
      <c r="F79" s="312"/>
      <c r="H79" s="312"/>
      <c r="M79" s="312"/>
      <c r="T79" s="312"/>
    </row>
    <row r="80" spans="1:20" x14ac:dyDescent="0.2">
      <c r="A80" t="s">
        <v>796</v>
      </c>
      <c r="D80" s="312"/>
      <c r="F80" s="312"/>
      <c r="H80" s="312"/>
      <c r="M80" s="312"/>
      <c r="T80" s="312"/>
    </row>
    <row r="81" spans="1:20" x14ac:dyDescent="0.2">
      <c r="A81" t="s">
        <v>797</v>
      </c>
      <c r="D81" s="312"/>
      <c r="F81" s="312"/>
      <c r="H81" s="312"/>
      <c r="M81" s="312"/>
      <c r="T81" s="312"/>
    </row>
    <row r="82" spans="1:20" x14ac:dyDescent="0.2">
      <c r="A82" t="s">
        <v>798</v>
      </c>
      <c r="D82" s="312"/>
      <c r="F82" s="312"/>
      <c r="H82" s="312"/>
      <c r="M82" s="312"/>
      <c r="T82" s="312"/>
    </row>
    <row r="83" spans="1:20" x14ac:dyDescent="0.2">
      <c r="A83" t="s">
        <v>866</v>
      </c>
      <c r="D83" s="312"/>
      <c r="F83" s="312"/>
      <c r="H83" s="312"/>
      <c r="M83" s="312"/>
      <c r="T83" s="312"/>
    </row>
    <row r="84" spans="1:20" x14ac:dyDescent="0.2">
      <c r="A84" t="s">
        <v>867</v>
      </c>
      <c r="D84" s="312"/>
      <c r="F84" s="312"/>
      <c r="H84" s="312"/>
      <c r="M84" s="312"/>
      <c r="T84" s="312"/>
    </row>
    <row r="85" spans="1:20" x14ac:dyDescent="0.2">
      <c r="A85" t="s">
        <v>868</v>
      </c>
      <c r="D85" s="312"/>
      <c r="F85" s="312"/>
      <c r="H85" s="312"/>
      <c r="M85" s="312"/>
      <c r="T85" s="312"/>
    </row>
    <row r="86" spans="1:20" x14ac:dyDescent="0.2">
      <c r="A86" t="s">
        <v>869</v>
      </c>
      <c r="D86" s="312"/>
      <c r="F86" s="312"/>
      <c r="H86" s="312"/>
      <c r="M86" s="312"/>
      <c r="T86" s="312"/>
    </row>
    <row r="87" spans="1:20" x14ac:dyDescent="0.2">
      <c r="A87" t="s">
        <v>870</v>
      </c>
      <c r="D87" s="312"/>
      <c r="F87" s="312"/>
      <c r="H87" s="312"/>
      <c r="M87" s="312"/>
      <c r="T87" s="312"/>
    </row>
    <row r="88" spans="1:20" x14ac:dyDescent="0.2">
      <c r="A88" t="s">
        <v>871</v>
      </c>
      <c r="D88" s="312"/>
      <c r="F88" s="312"/>
      <c r="H88" s="312"/>
      <c r="M88" s="312"/>
      <c r="T88" s="312"/>
    </row>
    <row r="89" spans="1:20" x14ac:dyDescent="0.2">
      <c r="A89" t="s">
        <v>799</v>
      </c>
      <c r="D89" s="312"/>
      <c r="F89" s="312"/>
      <c r="H89" s="312"/>
      <c r="M89" s="312"/>
      <c r="T89" s="312"/>
    </row>
    <row r="90" spans="1:20" x14ac:dyDescent="0.2">
      <c r="A90" t="s">
        <v>872</v>
      </c>
      <c r="D90" s="312"/>
      <c r="F90" s="312"/>
      <c r="H90" s="312"/>
      <c r="M90" s="312"/>
      <c r="T90" s="312"/>
    </row>
    <row r="91" spans="1:20" x14ac:dyDescent="0.2">
      <c r="A91" t="s">
        <v>873</v>
      </c>
      <c r="D91" s="312"/>
      <c r="F91" s="312"/>
      <c r="H91" s="312"/>
      <c r="M91" s="312"/>
      <c r="T91" s="312"/>
    </row>
    <row r="92" spans="1:20" x14ac:dyDescent="0.2">
      <c r="A92" t="s">
        <v>874</v>
      </c>
      <c r="D92" s="312"/>
      <c r="F92" s="312"/>
      <c r="H92" s="312"/>
      <c r="M92" s="312"/>
      <c r="T92" s="312"/>
    </row>
    <row r="93" spans="1:20" x14ac:dyDescent="0.2">
      <c r="A93" t="s">
        <v>875</v>
      </c>
      <c r="D93" s="312"/>
      <c r="F93" s="312"/>
      <c r="H93" s="312"/>
      <c r="M93" s="312"/>
      <c r="T93" s="312"/>
    </row>
    <row r="94" spans="1:20" x14ac:dyDescent="0.2">
      <c r="A94" t="s">
        <v>876</v>
      </c>
      <c r="D94" s="312"/>
      <c r="F94" s="312"/>
      <c r="H94" s="312"/>
      <c r="M94" s="312"/>
      <c r="T94" s="312"/>
    </row>
    <row r="95" spans="1:20" x14ac:dyDescent="0.2">
      <c r="A95" t="s">
        <v>877</v>
      </c>
      <c r="D95" s="312"/>
      <c r="F95" s="312"/>
      <c r="H95" s="312"/>
      <c r="M95" s="312"/>
      <c r="T95" s="312"/>
    </row>
    <row r="96" spans="1:20" x14ac:dyDescent="0.2">
      <c r="A96" t="s">
        <v>878</v>
      </c>
      <c r="D96" s="312"/>
      <c r="F96" s="312"/>
      <c r="H96" s="312"/>
      <c r="M96" s="312"/>
      <c r="T96" s="312"/>
    </row>
    <row r="97" spans="1:20" x14ac:dyDescent="0.2">
      <c r="A97" t="s">
        <v>879</v>
      </c>
      <c r="D97" s="312"/>
      <c r="F97" s="312"/>
      <c r="H97" s="312"/>
      <c r="M97" s="312"/>
      <c r="T97" s="312"/>
    </row>
    <row r="98" spans="1:20" x14ac:dyDescent="0.2">
      <c r="A98" t="s">
        <v>880</v>
      </c>
      <c r="D98" s="312"/>
      <c r="F98" s="312"/>
      <c r="H98" s="312"/>
      <c r="M98" s="312"/>
      <c r="T98" s="312"/>
    </row>
    <row r="99" spans="1:20" x14ac:dyDescent="0.2">
      <c r="A99" t="s">
        <v>800</v>
      </c>
      <c r="D99" s="312"/>
      <c r="F99" s="312"/>
      <c r="H99" s="312"/>
      <c r="M99" s="312"/>
      <c r="T99" s="312"/>
    </row>
    <row r="100" spans="1:20" x14ac:dyDescent="0.2">
      <c r="A100" t="s">
        <v>881</v>
      </c>
      <c r="D100" s="312"/>
      <c r="F100" s="312"/>
      <c r="H100" s="312"/>
      <c r="M100" s="312"/>
      <c r="T100" s="312"/>
    </row>
    <row r="101" spans="1:20" x14ac:dyDescent="0.2">
      <c r="A101" t="s">
        <v>882</v>
      </c>
      <c r="D101" s="312"/>
      <c r="F101" s="312"/>
      <c r="H101" s="312"/>
      <c r="M101" s="312"/>
      <c r="T101" s="312"/>
    </row>
    <row r="102" spans="1:20" x14ac:dyDescent="0.2">
      <c r="A102" t="s">
        <v>883</v>
      </c>
      <c r="D102" s="312"/>
      <c r="F102" s="312"/>
      <c r="H102" s="312"/>
      <c r="M102" s="312"/>
      <c r="T102" s="312"/>
    </row>
    <row r="103" spans="1:20" x14ac:dyDescent="0.2">
      <c r="A103" t="s">
        <v>884</v>
      </c>
      <c r="D103" s="312"/>
      <c r="F103" s="312"/>
      <c r="H103" s="312"/>
      <c r="M103" s="312"/>
      <c r="T103" s="312"/>
    </row>
    <row r="104" spans="1:20" x14ac:dyDescent="0.2">
      <c r="A104" t="s">
        <v>885</v>
      </c>
      <c r="D104" s="312"/>
      <c r="F104" s="312"/>
      <c r="H104" s="312"/>
      <c r="M104" s="312"/>
      <c r="T104" s="312"/>
    </row>
    <row r="105" spans="1:20" x14ac:dyDescent="0.2">
      <c r="A105" t="s">
        <v>886</v>
      </c>
      <c r="D105" s="312"/>
      <c r="F105" s="312"/>
      <c r="H105" s="312"/>
      <c r="M105" s="312"/>
      <c r="T105" s="312"/>
    </row>
    <row r="106" spans="1:20" x14ac:dyDescent="0.2">
      <c r="A106" t="s">
        <v>801</v>
      </c>
      <c r="D106" s="312"/>
      <c r="F106" s="312"/>
      <c r="H106" s="312"/>
      <c r="M106" s="312"/>
      <c r="T106" s="312"/>
    </row>
    <row r="107" spans="1:20" x14ac:dyDescent="0.2">
      <c r="A107" t="s">
        <v>887</v>
      </c>
      <c r="D107" s="312"/>
      <c r="F107" s="312"/>
      <c r="H107" s="312"/>
      <c r="M107" s="312"/>
      <c r="T107" s="312"/>
    </row>
    <row r="108" spans="1:20" x14ac:dyDescent="0.2">
      <c r="A108" t="s">
        <v>888</v>
      </c>
      <c r="D108" s="312"/>
      <c r="F108" s="312"/>
      <c r="H108" s="312"/>
      <c r="M108" s="312"/>
      <c r="T108" s="312"/>
    </row>
    <row r="109" spans="1:20" x14ac:dyDescent="0.2">
      <c r="A109" t="s">
        <v>889</v>
      </c>
      <c r="D109" s="312"/>
      <c r="F109" s="312"/>
      <c r="H109" s="312"/>
      <c r="M109" s="312"/>
      <c r="T109" s="312"/>
    </row>
    <row r="110" spans="1:20" x14ac:dyDescent="0.2">
      <c r="A110" t="s">
        <v>890</v>
      </c>
      <c r="D110" s="312"/>
      <c r="F110" s="312"/>
      <c r="H110" s="312"/>
      <c r="M110" s="312"/>
      <c r="T110" s="312"/>
    </row>
    <row r="111" spans="1:20" x14ac:dyDescent="0.2">
      <c r="A111" t="s">
        <v>891</v>
      </c>
      <c r="D111" s="312"/>
      <c r="F111" s="312"/>
      <c r="H111" s="312"/>
      <c r="M111" s="312"/>
      <c r="T111" s="312"/>
    </row>
    <row r="112" spans="1:20" x14ac:dyDescent="0.2">
      <c r="A112" t="s">
        <v>892</v>
      </c>
      <c r="D112" s="312"/>
      <c r="F112" s="312"/>
      <c r="H112" s="312"/>
      <c r="M112" s="312"/>
      <c r="T112" s="312"/>
    </row>
    <row r="113" spans="1:20" x14ac:dyDescent="0.2">
      <c r="A113" t="s">
        <v>893</v>
      </c>
      <c r="D113" s="312"/>
      <c r="F113" s="312"/>
      <c r="H113" s="312"/>
      <c r="M113" s="312"/>
      <c r="T113" s="312"/>
    </row>
    <row r="114" spans="1:20" x14ac:dyDescent="0.2">
      <c r="A114" t="s">
        <v>894</v>
      </c>
      <c r="D114" s="312"/>
      <c r="F114" s="312"/>
      <c r="H114" s="312"/>
      <c r="M114" s="312"/>
      <c r="T114" s="312"/>
    </row>
    <row r="115" spans="1:20" x14ac:dyDescent="0.2">
      <c r="A115" t="s">
        <v>895</v>
      </c>
      <c r="D115" s="312"/>
      <c r="F115" s="312"/>
      <c r="H115" s="312"/>
      <c r="M115" s="312"/>
      <c r="T115" s="312"/>
    </row>
    <row r="116" spans="1:20" x14ac:dyDescent="0.2">
      <c r="A116" t="s">
        <v>896</v>
      </c>
      <c r="D116" s="312"/>
      <c r="F116" s="312"/>
      <c r="H116" s="312"/>
      <c r="M116" s="312"/>
      <c r="T116" s="312"/>
    </row>
    <row r="117" spans="1:20" x14ac:dyDescent="0.2">
      <c r="A117" t="s">
        <v>897</v>
      </c>
      <c r="D117" s="312"/>
      <c r="F117" s="312"/>
      <c r="H117" s="312"/>
      <c r="M117" s="312"/>
      <c r="T117" s="312"/>
    </row>
    <row r="118" spans="1:20" x14ac:dyDescent="0.2">
      <c r="A118" t="s">
        <v>898</v>
      </c>
      <c r="D118" s="312"/>
      <c r="F118" s="312"/>
      <c r="H118" s="312"/>
      <c r="M118" s="312"/>
      <c r="T118" s="312"/>
    </row>
    <row r="119" spans="1:20" x14ac:dyDescent="0.2">
      <c r="A119" t="s">
        <v>899</v>
      </c>
      <c r="D119" s="312"/>
      <c r="F119" s="312"/>
      <c r="H119" s="312"/>
      <c r="M119" s="312"/>
      <c r="T119" s="312"/>
    </row>
    <row r="120" spans="1:20" x14ac:dyDescent="0.2">
      <c r="A120" t="s">
        <v>900</v>
      </c>
      <c r="D120" s="312"/>
      <c r="F120" s="312"/>
      <c r="H120" s="312"/>
      <c r="M120" s="312"/>
      <c r="T120" s="312"/>
    </row>
    <row r="121" spans="1:20" x14ac:dyDescent="0.2">
      <c r="A121" t="s">
        <v>901</v>
      </c>
      <c r="D121" s="312"/>
      <c r="F121" s="312"/>
      <c r="H121" s="312"/>
      <c r="M121" s="312"/>
      <c r="T121" s="312"/>
    </row>
    <row r="122" spans="1:20" x14ac:dyDescent="0.2">
      <c r="A122" t="s">
        <v>802</v>
      </c>
      <c r="D122" s="312"/>
      <c r="F122" s="312"/>
      <c r="H122" s="312"/>
      <c r="M122" s="312"/>
    </row>
    <row r="123" spans="1:20" x14ac:dyDescent="0.2">
      <c r="A123" t="s">
        <v>803</v>
      </c>
      <c r="D123" s="312"/>
      <c r="F123" s="312"/>
      <c r="H123" s="312"/>
      <c r="M123" s="312"/>
    </row>
    <row r="124" spans="1:20" x14ac:dyDescent="0.2">
      <c r="A124" t="s">
        <v>804</v>
      </c>
      <c r="D124" s="312"/>
      <c r="F124" s="312"/>
      <c r="H124" s="312"/>
      <c r="M124" s="312"/>
    </row>
    <row r="125" spans="1:20" x14ac:dyDescent="0.2">
      <c r="A125" t="s">
        <v>805</v>
      </c>
      <c r="D125" s="312"/>
      <c r="F125" s="312"/>
      <c r="H125" s="312"/>
      <c r="M125" s="312"/>
    </row>
    <row r="126" spans="1:20" x14ac:dyDescent="0.2">
      <c r="A126" t="s">
        <v>806</v>
      </c>
      <c r="D126" s="312"/>
      <c r="F126" s="312"/>
      <c r="H126" s="312"/>
      <c r="M126" s="312"/>
    </row>
    <row r="127" spans="1:20" x14ac:dyDescent="0.2">
      <c r="A127" t="s">
        <v>807</v>
      </c>
      <c r="D127" s="312"/>
      <c r="F127" s="312"/>
      <c r="H127" s="312"/>
      <c r="M127" s="312"/>
      <c r="T127" s="312"/>
    </row>
    <row r="128" spans="1:20" x14ac:dyDescent="0.2">
      <c r="A128" t="s">
        <v>808</v>
      </c>
      <c r="D128" s="312"/>
      <c r="F128" s="312"/>
      <c r="H128" s="312"/>
      <c r="M128" s="312"/>
      <c r="T128" s="312"/>
    </row>
    <row r="129" spans="1:20" x14ac:dyDescent="0.2">
      <c r="A129" t="s">
        <v>809</v>
      </c>
      <c r="D129" s="312"/>
      <c r="F129" s="312"/>
      <c r="H129" s="312"/>
      <c r="M129" s="312"/>
      <c r="T129" s="312"/>
    </row>
    <row r="130" spans="1:20" x14ac:dyDescent="0.2">
      <c r="A130" t="s">
        <v>810</v>
      </c>
      <c r="D130" s="312"/>
      <c r="F130" s="312"/>
      <c r="H130" s="312"/>
      <c r="M130" s="312"/>
      <c r="T130" s="312"/>
    </row>
    <row r="131" spans="1:20" x14ac:dyDescent="0.2">
      <c r="A131" t="s">
        <v>811</v>
      </c>
      <c r="D131" s="312"/>
      <c r="F131" s="312"/>
      <c r="H131" s="312"/>
      <c r="M131" s="312"/>
      <c r="T131" s="312"/>
    </row>
    <row r="132" spans="1:20" x14ac:dyDescent="0.2">
      <c r="A132" t="s">
        <v>812</v>
      </c>
      <c r="D132" s="312"/>
      <c r="F132" s="312"/>
      <c r="H132" s="312"/>
      <c r="M132" s="312"/>
      <c r="T132" s="312"/>
    </row>
    <row r="133" spans="1:20" x14ac:dyDescent="0.2">
      <c r="A133" t="s">
        <v>813</v>
      </c>
      <c r="D133" s="312"/>
      <c r="F133" s="312"/>
      <c r="H133" s="312"/>
      <c r="M133" s="312"/>
      <c r="T133" s="312"/>
    </row>
    <row r="134" spans="1:20" x14ac:dyDescent="0.2">
      <c r="A134" t="s">
        <v>814</v>
      </c>
      <c r="D134" s="312"/>
      <c r="F134" s="312"/>
      <c r="H134" s="312"/>
      <c r="M134" s="312"/>
      <c r="T134" s="312"/>
    </row>
    <row r="135" spans="1:20" x14ac:dyDescent="0.2">
      <c r="A135" t="s">
        <v>815</v>
      </c>
      <c r="D135" s="312"/>
      <c r="F135" s="312"/>
      <c r="H135" s="312"/>
      <c r="M135" s="312"/>
      <c r="T135" s="312"/>
    </row>
    <row r="136" spans="1:20" x14ac:dyDescent="0.2">
      <c r="A136" t="s">
        <v>816</v>
      </c>
      <c r="D136" s="312"/>
      <c r="F136" s="312"/>
      <c r="H136" s="312"/>
      <c r="M136" s="312"/>
      <c r="T136" s="312"/>
    </row>
    <row r="137" spans="1:20" x14ac:dyDescent="0.2">
      <c r="A137" t="s">
        <v>817</v>
      </c>
      <c r="D137" s="312"/>
      <c r="F137" s="312"/>
      <c r="H137" s="312"/>
      <c r="M137" s="312"/>
      <c r="T137" s="312"/>
    </row>
    <row r="138" spans="1:20" x14ac:dyDescent="0.2">
      <c r="A138" t="s">
        <v>818</v>
      </c>
      <c r="D138" s="312"/>
      <c r="F138" s="312"/>
      <c r="H138" s="312"/>
      <c r="M138" s="312"/>
      <c r="T138" s="312"/>
    </row>
    <row r="139" spans="1:20" x14ac:dyDescent="0.2">
      <c r="A139" t="s">
        <v>819</v>
      </c>
      <c r="D139" s="312"/>
      <c r="F139" s="312"/>
      <c r="H139" s="312"/>
      <c r="M139" s="312"/>
      <c r="T139" s="312"/>
    </row>
    <row r="140" spans="1:20" x14ac:dyDescent="0.2">
      <c r="A140" t="s">
        <v>820</v>
      </c>
      <c r="D140" s="312"/>
      <c r="F140" s="312"/>
      <c r="H140" s="312"/>
      <c r="M140" s="312"/>
      <c r="T140" s="312"/>
    </row>
    <row r="141" spans="1:20" x14ac:dyDescent="0.2">
      <c r="A141" t="s">
        <v>821</v>
      </c>
      <c r="D141" s="312"/>
      <c r="F141" s="312"/>
      <c r="H141" s="312"/>
      <c r="M141" s="312"/>
      <c r="T141" s="312"/>
    </row>
    <row r="142" spans="1:20" x14ac:dyDescent="0.2">
      <c r="A142" t="s">
        <v>822</v>
      </c>
      <c r="D142" s="312"/>
      <c r="F142" s="312"/>
      <c r="H142" s="312"/>
      <c r="M142" s="312"/>
      <c r="T142" s="312"/>
    </row>
    <row r="143" spans="1:20" x14ac:dyDescent="0.2">
      <c r="A143" t="s">
        <v>823</v>
      </c>
      <c r="D143" s="312"/>
      <c r="F143" s="312"/>
      <c r="H143" s="312"/>
      <c r="M143" s="312"/>
      <c r="T143" s="312"/>
    </row>
    <row r="144" spans="1:20" x14ac:dyDescent="0.2">
      <c r="A144" t="s">
        <v>824</v>
      </c>
      <c r="D144" s="312"/>
      <c r="F144" s="312"/>
      <c r="H144" s="312"/>
      <c r="M144" s="312"/>
      <c r="T144" s="312"/>
    </row>
    <row r="145" spans="1:20" x14ac:dyDescent="0.2">
      <c r="A145" t="s">
        <v>825</v>
      </c>
      <c r="D145" s="312"/>
      <c r="F145" s="312"/>
      <c r="H145" s="312"/>
      <c r="M145" s="312"/>
      <c r="T145" s="312"/>
    </row>
    <row r="146" spans="1:20" x14ac:dyDescent="0.2">
      <c r="A146" t="s">
        <v>826</v>
      </c>
      <c r="D146" s="312"/>
      <c r="F146" s="312"/>
      <c r="H146" s="312"/>
      <c r="M146" s="312"/>
      <c r="T146" s="312"/>
    </row>
    <row r="147" spans="1:20" x14ac:dyDescent="0.2">
      <c r="A147" t="s">
        <v>827</v>
      </c>
      <c r="D147" s="312"/>
      <c r="F147" s="312"/>
      <c r="H147" s="312"/>
      <c r="M147" s="312"/>
      <c r="T147" s="312"/>
    </row>
    <row r="148" spans="1:20" x14ac:dyDescent="0.2">
      <c r="A148" t="s">
        <v>828</v>
      </c>
      <c r="D148" s="312"/>
      <c r="F148" s="312"/>
      <c r="H148" s="312"/>
      <c r="M148" s="312"/>
      <c r="T148" s="312"/>
    </row>
    <row r="149" spans="1:20" x14ac:dyDescent="0.2">
      <c r="A149" t="s">
        <v>829</v>
      </c>
      <c r="D149" s="312"/>
      <c r="F149" s="312"/>
      <c r="H149" s="312"/>
      <c r="M149" s="312"/>
      <c r="T149" s="312"/>
    </row>
    <row r="150" spans="1:20" x14ac:dyDescent="0.2">
      <c r="A150" t="s">
        <v>830</v>
      </c>
      <c r="D150" s="312"/>
      <c r="F150" s="312"/>
      <c r="H150" s="312"/>
      <c r="M150" s="312"/>
      <c r="T150" s="312"/>
    </row>
    <row r="151" spans="1:20" x14ac:dyDescent="0.2">
      <c r="A151" t="s">
        <v>831</v>
      </c>
      <c r="D151" s="312"/>
      <c r="F151" s="312"/>
      <c r="H151" s="312"/>
      <c r="M151" s="312"/>
      <c r="T151" s="312"/>
    </row>
    <row r="152" spans="1:20" x14ac:dyDescent="0.2">
      <c r="A152" t="s">
        <v>832</v>
      </c>
      <c r="D152" s="312"/>
      <c r="F152" s="312"/>
      <c r="H152" s="312"/>
      <c r="M152" s="312"/>
      <c r="T152" s="312"/>
    </row>
    <row r="153" spans="1:20" x14ac:dyDescent="0.2">
      <c r="A153" t="s">
        <v>833</v>
      </c>
      <c r="D153" s="312"/>
      <c r="F153" s="312"/>
      <c r="H153" s="312"/>
      <c r="M153" s="312"/>
      <c r="T153" s="312"/>
    </row>
    <row r="154" spans="1:20" x14ac:dyDescent="0.2">
      <c r="A154" t="s">
        <v>834</v>
      </c>
      <c r="D154" s="312"/>
      <c r="F154" s="312"/>
      <c r="H154" s="312"/>
      <c r="M154" s="312"/>
      <c r="T154" s="312"/>
    </row>
    <row r="155" spans="1:20" x14ac:dyDescent="0.2">
      <c r="A155" t="s">
        <v>835</v>
      </c>
      <c r="D155" s="312"/>
      <c r="F155" s="312"/>
      <c r="H155" s="312"/>
      <c r="M155" s="312"/>
      <c r="T155" s="312"/>
    </row>
    <row r="156" spans="1:20" x14ac:dyDescent="0.2">
      <c r="A156" t="s">
        <v>836</v>
      </c>
      <c r="D156" s="312"/>
      <c r="F156" s="312"/>
      <c r="H156" s="312"/>
      <c r="M156" s="312"/>
      <c r="T156" s="312"/>
    </row>
    <row r="157" spans="1:20" x14ac:dyDescent="0.2">
      <c r="A157" t="s">
        <v>837</v>
      </c>
      <c r="D157" s="312"/>
      <c r="F157" s="312"/>
      <c r="H157" s="312"/>
      <c r="M157" s="312"/>
      <c r="T157" s="312"/>
    </row>
    <row r="158" spans="1:20" x14ac:dyDescent="0.2">
      <c r="A158" t="s">
        <v>838</v>
      </c>
      <c r="D158" s="312"/>
      <c r="F158" s="312"/>
      <c r="H158" s="312"/>
      <c r="M158" s="312"/>
      <c r="T158" s="312"/>
    </row>
    <row r="159" spans="1:20" x14ac:dyDescent="0.2">
      <c r="A159" t="s">
        <v>839</v>
      </c>
      <c r="D159" s="312"/>
      <c r="F159" s="312"/>
      <c r="H159" s="312"/>
      <c r="M159" s="312"/>
      <c r="T159" s="312"/>
    </row>
    <row r="160" spans="1:20" x14ac:dyDescent="0.2">
      <c r="A160" t="s">
        <v>840</v>
      </c>
      <c r="D160" s="312"/>
      <c r="F160" s="312"/>
      <c r="H160" s="312"/>
      <c r="M160" s="312"/>
      <c r="T160" s="312"/>
    </row>
    <row r="161" spans="1:20" x14ac:dyDescent="0.2">
      <c r="A161" t="s">
        <v>841</v>
      </c>
      <c r="D161" s="312"/>
      <c r="F161" s="312"/>
      <c r="H161" s="312"/>
      <c r="M161" s="312"/>
      <c r="T161" s="312"/>
    </row>
    <row r="162" spans="1:20" x14ac:dyDescent="0.2">
      <c r="D162" s="312"/>
      <c r="F162" s="312"/>
      <c r="H162" s="312"/>
      <c r="M162" s="312"/>
      <c r="T162" s="312"/>
    </row>
    <row r="163" spans="1:20" x14ac:dyDescent="0.2">
      <c r="D163" s="312"/>
      <c r="F163" s="312"/>
      <c r="H163" s="312"/>
      <c r="M163" s="312"/>
      <c r="T163" s="312"/>
    </row>
    <row r="164" spans="1:20" x14ac:dyDescent="0.2">
      <c r="D164" s="312"/>
      <c r="F164" s="312"/>
      <c r="H164" s="312"/>
      <c r="M164" s="312"/>
      <c r="T164" s="312"/>
    </row>
    <row r="165" spans="1:20" x14ac:dyDescent="0.2">
      <c r="D165" s="312"/>
      <c r="F165" s="312"/>
      <c r="H165" s="312"/>
      <c r="M165" s="312"/>
      <c r="T165" s="312"/>
    </row>
    <row r="166" spans="1:20" x14ac:dyDescent="0.2">
      <c r="D166" s="312"/>
      <c r="F166" s="312"/>
      <c r="H166" s="312"/>
      <c r="M166" s="312"/>
      <c r="T166" s="312"/>
    </row>
    <row r="167" spans="1:20" x14ac:dyDescent="0.2">
      <c r="D167" s="312"/>
      <c r="F167" s="312"/>
      <c r="H167" s="312"/>
      <c r="M167" s="312"/>
      <c r="T167" s="312"/>
    </row>
    <row r="168" spans="1:20" x14ac:dyDescent="0.2">
      <c r="D168" s="312"/>
      <c r="F168" s="312"/>
      <c r="H168" s="312"/>
      <c r="M168" s="312"/>
      <c r="T168" s="312"/>
    </row>
    <row r="169" spans="1:20" x14ac:dyDescent="0.2">
      <c r="D169" s="312"/>
      <c r="F169" s="312"/>
      <c r="H169" s="312"/>
      <c r="M169" s="312"/>
      <c r="T169" s="312"/>
    </row>
    <row r="170" spans="1:20" x14ac:dyDescent="0.2">
      <c r="D170" s="312"/>
      <c r="F170" s="312"/>
      <c r="H170" s="312"/>
      <c r="M170" s="312"/>
      <c r="T170" s="312"/>
    </row>
    <row r="171" spans="1:20" x14ac:dyDescent="0.2">
      <c r="D171" s="312"/>
      <c r="F171" s="312"/>
      <c r="H171" s="312"/>
      <c r="M171" s="312"/>
      <c r="T171" s="312"/>
    </row>
    <row r="172" spans="1:20" x14ac:dyDescent="0.2">
      <c r="D172" s="312"/>
      <c r="F172" s="312"/>
      <c r="H172" s="312"/>
      <c r="M172" s="312"/>
      <c r="T172" s="312"/>
    </row>
    <row r="173" spans="1:20" x14ac:dyDescent="0.2">
      <c r="D173" s="312"/>
      <c r="F173" s="312"/>
      <c r="H173" s="312"/>
      <c r="M173" s="312"/>
      <c r="T173" s="312"/>
    </row>
    <row r="174" spans="1:20" x14ac:dyDescent="0.2">
      <c r="D174" s="312"/>
      <c r="F174" s="312"/>
      <c r="H174" s="312"/>
      <c r="M174" s="312"/>
      <c r="T174" s="312"/>
    </row>
    <row r="175" spans="1:20" x14ac:dyDescent="0.2">
      <c r="D175" s="312"/>
      <c r="F175" s="312"/>
      <c r="H175" s="312"/>
      <c r="M175" s="312"/>
      <c r="T175" s="312"/>
    </row>
    <row r="176" spans="1:20" x14ac:dyDescent="0.2">
      <c r="D176" s="312"/>
      <c r="F176" s="312"/>
      <c r="H176" s="312"/>
      <c r="M176" s="312"/>
      <c r="T176" s="312"/>
    </row>
    <row r="177" spans="4:20" x14ac:dyDescent="0.2">
      <c r="D177" s="312"/>
      <c r="F177" s="312"/>
      <c r="H177" s="312"/>
      <c r="M177" s="312"/>
      <c r="T177" s="312"/>
    </row>
    <row r="178" spans="4:20" x14ac:dyDescent="0.2">
      <c r="D178" s="312"/>
      <c r="F178" s="312"/>
      <c r="H178" s="312"/>
      <c r="M178" s="312"/>
      <c r="T178" s="312"/>
    </row>
    <row r="179" spans="4:20" x14ac:dyDescent="0.2">
      <c r="D179" s="312"/>
      <c r="F179" s="312"/>
      <c r="H179" s="312"/>
      <c r="M179" s="312"/>
      <c r="T179" s="312"/>
    </row>
    <row r="180" spans="4:20" x14ac:dyDescent="0.2">
      <c r="D180" s="312"/>
      <c r="F180" s="312"/>
      <c r="H180" s="312"/>
      <c r="M180" s="312"/>
      <c r="T180" s="312"/>
    </row>
    <row r="181" spans="4:20" x14ac:dyDescent="0.2">
      <c r="D181" s="312"/>
      <c r="F181" s="312"/>
      <c r="H181" s="312"/>
      <c r="M181" s="312"/>
      <c r="T181" s="312"/>
    </row>
    <row r="182" spans="4:20" x14ac:dyDescent="0.2">
      <c r="D182" s="312"/>
      <c r="F182" s="312"/>
      <c r="H182" s="312"/>
      <c r="M182" s="312"/>
      <c r="T182" s="312"/>
    </row>
    <row r="183" spans="4:20" x14ac:dyDescent="0.2">
      <c r="D183" s="312"/>
      <c r="F183" s="312"/>
      <c r="H183" s="312"/>
      <c r="M183" s="312"/>
      <c r="T183" s="312"/>
    </row>
    <row r="184" spans="4:20" x14ac:dyDescent="0.2">
      <c r="D184" s="312"/>
      <c r="F184" s="312"/>
      <c r="H184" s="312"/>
      <c r="M184" s="312"/>
      <c r="T184" s="312"/>
    </row>
    <row r="185" spans="4:20" x14ac:dyDescent="0.2">
      <c r="D185" s="312"/>
      <c r="F185" s="312"/>
      <c r="H185" s="312"/>
      <c r="M185" s="312"/>
      <c r="T185" s="312"/>
    </row>
    <row r="186" spans="4:20" x14ac:dyDescent="0.2">
      <c r="D186" s="312"/>
      <c r="F186" s="312"/>
      <c r="H186" s="312"/>
      <c r="M186" s="312"/>
      <c r="T186" s="312"/>
    </row>
    <row r="187" spans="4:20" x14ac:dyDescent="0.2">
      <c r="D187" s="312"/>
      <c r="F187" s="312"/>
      <c r="H187" s="312"/>
      <c r="M187" s="312"/>
      <c r="T187" s="312"/>
    </row>
    <row r="188" spans="4:20" x14ac:dyDescent="0.2">
      <c r="D188" s="312"/>
      <c r="F188" s="312"/>
      <c r="H188" s="312"/>
      <c r="M188" s="312"/>
      <c r="T188" s="312"/>
    </row>
    <row r="189" spans="4:20" x14ac:dyDescent="0.2">
      <c r="D189" s="312"/>
      <c r="F189" s="312"/>
      <c r="H189" s="312"/>
      <c r="M189" s="312"/>
      <c r="T189" s="312"/>
    </row>
    <row r="190" spans="4:20" x14ac:dyDescent="0.2">
      <c r="D190" s="312"/>
      <c r="F190" s="312"/>
      <c r="H190" s="312"/>
      <c r="M190" s="312"/>
      <c r="T190" s="312"/>
    </row>
    <row r="191" spans="4:20" x14ac:dyDescent="0.2">
      <c r="D191" s="312"/>
      <c r="F191" s="312"/>
      <c r="H191" s="312"/>
      <c r="M191" s="312"/>
      <c r="T191" s="312"/>
    </row>
    <row r="192" spans="4:20" x14ac:dyDescent="0.2">
      <c r="F192" s="312"/>
      <c r="M192" s="312"/>
      <c r="T192" s="312"/>
    </row>
    <row r="193" spans="6:20" x14ac:dyDescent="0.2">
      <c r="F193" s="312"/>
      <c r="M193" s="312"/>
      <c r="T193" s="312"/>
    </row>
    <row r="194" spans="6:20" x14ac:dyDescent="0.2">
      <c r="F194" s="312"/>
      <c r="M194" s="312"/>
      <c r="T194" s="312"/>
    </row>
    <row r="195" spans="6:20" x14ac:dyDescent="0.2">
      <c r="F195" s="312"/>
      <c r="M195" s="312"/>
      <c r="T195" s="312"/>
    </row>
    <row r="196" spans="6:20" x14ac:dyDescent="0.2">
      <c r="F196" s="312"/>
      <c r="M196" s="312"/>
      <c r="T196" s="312"/>
    </row>
    <row r="197" spans="6:20" x14ac:dyDescent="0.2">
      <c r="F197" s="312"/>
      <c r="M197" s="312"/>
      <c r="T197" s="312"/>
    </row>
    <row r="198" spans="6:20" x14ac:dyDescent="0.2">
      <c r="F198" s="312"/>
      <c r="M198" s="312"/>
      <c r="T198" s="312"/>
    </row>
    <row r="199" spans="6:20" x14ac:dyDescent="0.2">
      <c r="F199" s="312"/>
      <c r="M199" s="312"/>
      <c r="T199" s="312"/>
    </row>
    <row r="200" spans="6:20" x14ac:dyDescent="0.2">
      <c r="F200" s="312"/>
      <c r="M200" s="312"/>
      <c r="T200" s="312"/>
    </row>
    <row r="201" spans="6:20" x14ac:dyDescent="0.2">
      <c r="F201" s="312"/>
      <c r="M201" s="312"/>
      <c r="T201" s="312"/>
    </row>
    <row r="202" spans="6:20" x14ac:dyDescent="0.2">
      <c r="F202" s="312"/>
      <c r="M202" s="312"/>
      <c r="T202" s="312"/>
    </row>
    <row r="203" spans="6:20" x14ac:dyDescent="0.2">
      <c r="F203" s="312"/>
      <c r="M203" s="312"/>
      <c r="T203" s="312"/>
    </row>
    <row r="204" spans="6:20" x14ac:dyDescent="0.2">
      <c r="F204" s="312"/>
      <c r="M204" s="312"/>
      <c r="T204" s="312"/>
    </row>
    <row r="205" spans="6:20" x14ac:dyDescent="0.2">
      <c r="F205" s="312"/>
      <c r="M205" s="312"/>
      <c r="T205" s="312"/>
    </row>
    <row r="206" spans="6:20" x14ac:dyDescent="0.2">
      <c r="F206" s="312"/>
      <c r="M206" s="312"/>
      <c r="T206" s="312"/>
    </row>
    <row r="207" spans="6:20" x14ac:dyDescent="0.2">
      <c r="F207" s="312"/>
      <c r="M207" s="312"/>
      <c r="T207" s="312"/>
    </row>
    <row r="208" spans="6:20" x14ac:dyDescent="0.2">
      <c r="F208" s="312"/>
      <c r="M208" s="312"/>
      <c r="T208" s="312"/>
    </row>
    <row r="209" spans="6:20" x14ac:dyDescent="0.2">
      <c r="F209" s="312"/>
      <c r="M209" s="312"/>
      <c r="T209" s="312"/>
    </row>
    <row r="210" spans="6:20" x14ac:dyDescent="0.2">
      <c r="F210" s="312"/>
      <c r="M210" s="312"/>
      <c r="T210" s="312"/>
    </row>
    <row r="211" spans="6:20" x14ac:dyDescent="0.2">
      <c r="F211" s="312"/>
      <c r="M211" s="312"/>
      <c r="T211" s="312"/>
    </row>
    <row r="212" spans="6:20" x14ac:dyDescent="0.2">
      <c r="F212" s="312"/>
      <c r="M212" s="312"/>
      <c r="T212" s="312"/>
    </row>
    <row r="213" spans="6:20" x14ac:dyDescent="0.2">
      <c r="F213" s="312"/>
      <c r="M213" s="312"/>
      <c r="T213" s="312"/>
    </row>
    <row r="214" spans="6:20" x14ac:dyDescent="0.2">
      <c r="F214" s="312"/>
      <c r="M214" s="312"/>
      <c r="T214" s="312"/>
    </row>
    <row r="215" spans="6:20" x14ac:dyDescent="0.2">
      <c r="F215" s="312"/>
      <c r="M215" s="312"/>
      <c r="T215" s="312"/>
    </row>
    <row r="216" spans="6:20" x14ac:dyDescent="0.2">
      <c r="F216" s="312"/>
      <c r="M216" s="312"/>
      <c r="T216" s="312"/>
    </row>
    <row r="217" spans="6:20" x14ac:dyDescent="0.2">
      <c r="F217" s="312"/>
      <c r="M217" s="312"/>
      <c r="T217" s="312"/>
    </row>
    <row r="218" spans="6:20" x14ac:dyDescent="0.2">
      <c r="F218" s="312"/>
      <c r="M218" s="312"/>
      <c r="T218" s="312"/>
    </row>
    <row r="219" spans="6:20" x14ac:dyDescent="0.2">
      <c r="F219" s="312"/>
      <c r="M219" s="312"/>
      <c r="T219" s="312"/>
    </row>
    <row r="220" spans="6:20" x14ac:dyDescent="0.2">
      <c r="F220" s="312"/>
      <c r="M220" s="312"/>
      <c r="T220" s="312"/>
    </row>
    <row r="221" spans="6:20" x14ac:dyDescent="0.2">
      <c r="F221" s="312"/>
      <c r="M221" s="312"/>
      <c r="T221" s="312"/>
    </row>
    <row r="222" spans="6:20" x14ac:dyDescent="0.2">
      <c r="F222" s="312"/>
      <c r="M222" s="312"/>
      <c r="T222" s="312"/>
    </row>
    <row r="223" spans="6:20" x14ac:dyDescent="0.2">
      <c r="F223" s="312"/>
      <c r="M223" s="312"/>
      <c r="T223" s="312"/>
    </row>
    <row r="224" spans="6:20" x14ac:dyDescent="0.2">
      <c r="F224" s="312"/>
      <c r="M224" s="312"/>
      <c r="T224" s="312"/>
    </row>
    <row r="225" spans="6:20" x14ac:dyDescent="0.2">
      <c r="F225" s="312"/>
      <c r="M225" s="312"/>
      <c r="T225" s="312"/>
    </row>
    <row r="226" spans="6:20" x14ac:dyDescent="0.2">
      <c r="F226" s="312"/>
      <c r="M226" s="312"/>
      <c r="T226" s="312"/>
    </row>
    <row r="227" spans="6:20" x14ac:dyDescent="0.2">
      <c r="F227" s="312"/>
      <c r="M227" s="312"/>
      <c r="T227" s="312"/>
    </row>
    <row r="228" spans="6:20" x14ac:dyDescent="0.2">
      <c r="F228" s="312"/>
      <c r="M228" s="312"/>
      <c r="T228" s="312"/>
    </row>
    <row r="229" spans="6:20" x14ac:dyDescent="0.2">
      <c r="F229" s="312"/>
      <c r="M229" s="312"/>
      <c r="T229" s="312"/>
    </row>
    <row r="230" spans="6:20" x14ac:dyDescent="0.2">
      <c r="F230" s="312"/>
      <c r="M230" s="312"/>
      <c r="T230" s="312"/>
    </row>
    <row r="231" spans="6:20" x14ac:dyDescent="0.2">
      <c r="F231" s="312"/>
      <c r="M231" s="312"/>
      <c r="T231" s="312"/>
    </row>
    <row r="232" spans="6:20" x14ac:dyDescent="0.2">
      <c r="F232" s="312"/>
      <c r="M232" s="312"/>
      <c r="T232" s="312"/>
    </row>
    <row r="233" spans="6:20" x14ac:dyDescent="0.2">
      <c r="F233" s="312"/>
      <c r="M233" s="312"/>
      <c r="T233" s="312"/>
    </row>
    <row r="234" spans="6:20" x14ac:dyDescent="0.2">
      <c r="F234" s="312"/>
      <c r="M234" s="312"/>
      <c r="T234" s="312"/>
    </row>
    <row r="235" spans="6:20" x14ac:dyDescent="0.2">
      <c r="F235" s="312"/>
      <c r="M235" s="312"/>
      <c r="T235" s="312"/>
    </row>
    <row r="236" spans="6:20" x14ac:dyDescent="0.2">
      <c r="F236" s="312"/>
      <c r="M236" s="312"/>
      <c r="T236" s="312"/>
    </row>
    <row r="237" spans="6:20" x14ac:dyDescent="0.2">
      <c r="F237" s="312"/>
      <c r="M237" s="312"/>
      <c r="T237" s="312"/>
    </row>
    <row r="238" spans="6:20" x14ac:dyDescent="0.2">
      <c r="F238" s="312"/>
      <c r="M238" s="312"/>
      <c r="T238" s="312"/>
    </row>
    <row r="239" spans="6:20" x14ac:dyDescent="0.2">
      <c r="F239" s="312"/>
      <c r="M239" s="312"/>
      <c r="T239" s="312"/>
    </row>
    <row r="240" spans="6:20" x14ac:dyDescent="0.2">
      <c r="F240" s="312"/>
      <c r="M240" s="312"/>
      <c r="T240" s="312"/>
    </row>
    <row r="241" spans="6:20" x14ac:dyDescent="0.2">
      <c r="F241" s="312"/>
      <c r="M241" s="312"/>
      <c r="T241" s="312"/>
    </row>
    <row r="242" spans="6:20" x14ac:dyDescent="0.2">
      <c r="F242" s="312"/>
      <c r="M242" s="312"/>
      <c r="T242" s="312"/>
    </row>
    <row r="243" spans="6:20" x14ac:dyDescent="0.2">
      <c r="F243" s="312"/>
      <c r="M243" s="312"/>
      <c r="T243" s="312"/>
    </row>
    <row r="244" spans="6:20" x14ac:dyDescent="0.2">
      <c r="F244" s="312"/>
      <c r="M244" s="312"/>
      <c r="T244" s="312"/>
    </row>
    <row r="245" spans="6:20" x14ac:dyDescent="0.2">
      <c r="F245" s="312"/>
      <c r="M245" s="312"/>
      <c r="T245" s="312"/>
    </row>
    <row r="246" spans="6:20" x14ac:dyDescent="0.2">
      <c r="F246" s="312"/>
      <c r="M246" s="312"/>
      <c r="T246" s="312"/>
    </row>
    <row r="247" spans="6:20" x14ac:dyDescent="0.2">
      <c r="F247" s="312"/>
      <c r="M247" s="312"/>
      <c r="T247" s="312"/>
    </row>
    <row r="248" spans="6:20" x14ac:dyDescent="0.2">
      <c r="F248" s="312"/>
      <c r="M248" s="312"/>
      <c r="T248" s="312"/>
    </row>
    <row r="249" spans="6:20" x14ac:dyDescent="0.2">
      <c r="F249" s="312"/>
      <c r="M249" s="312"/>
      <c r="T249" s="312"/>
    </row>
    <row r="250" spans="6:20" x14ac:dyDescent="0.2">
      <c r="F250" s="312"/>
      <c r="M250" s="312"/>
      <c r="T250" s="312"/>
    </row>
    <row r="251" spans="6:20" x14ac:dyDescent="0.2">
      <c r="F251" s="312"/>
      <c r="M251" s="312"/>
      <c r="T251" s="312"/>
    </row>
    <row r="252" spans="6:20" x14ac:dyDescent="0.2">
      <c r="F252" s="312"/>
      <c r="M252" s="312"/>
      <c r="T252" s="312"/>
    </row>
    <row r="253" spans="6:20" x14ac:dyDescent="0.2">
      <c r="F253" s="312"/>
      <c r="M253" s="312"/>
      <c r="T253" s="312"/>
    </row>
    <row r="254" spans="6:20" x14ac:dyDescent="0.2">
      <c r="F254" s="312"/>
      <c r="M254" s="312"/>
      <c r="T254" s="312"/>
    </row>
    <row r="255" spans="6:20" x14ac:dyDescent="0.2">
      <c r="F255" s="312"/>
      <c r="M255" s="312"/>
      <c r="T255" s="312"/>
    </row>
    <row r="256" spans="6:20" x14ac:dyDescent="0.2">
      <c r="F256" s="312"/>
      <c r="M256" s="312"/>
      <c r="T256" s="312"/>
    </row>
    <row r="257" spans="6:20" x14ac:dyDescent="0.2">
      <c r="F257" s="312"/>
      <c r="M257" s="312"/>
      <c r="T257" s="312"/>
    </row>
    <row r="258" spans="6:20" x14ac:dyDescent="0.2">
      <c r="F258" s="312"/>
      <c r="M258" s="312"/>
      <c r="T258" s="312"/>
    </row>
    <row r="259" spans="6:20" x14ac:dyDescent="0.2">
      <c r="F259" s="312"/>
      <c r="M259" s="312"/>
      <c r="T259" s="312"/>
    </row>
    <row r="260" spans="6:20" x14ac:dyDescent="0.2">
      <c r="F260" s="312"/>
      <c r="M260" s="312"/>
      <c r="T260" s="312"/>
    </row>
    <row r="261" spans="6:20" x14ac:dyDescent="0.2">
      <c r="F261" s="312"/>
      <c r="M261" s="312"/>
      <c r="T261" s="312"/>
    </row>
    <row r="262" spans="6:20" x14ac:dyDescent="0.2">
      <c r="F262" s="312"/>
      <c r="M262" s="312"/>
      <c r="T262" s="312"/>
    </row>
    <row r="263" spans="6:20" x14ac:dyDescent="0.2">
      <c r="F263" s="312"/>
      <c r="M263" s="312"/>
      <c r="T263" s="312"/>
    </row>
    <row r="264" spans="6:20" x14ac:dyDescent="0.2">
      <c r="F264" s="312"/>
      <c r="M264" s="312"/>
      <c r="T264" s="312"/>
    </row>
    <row r="265" spans="6:20" x14ac:dyDescent="0.2">
      <c r="F265" s="312"/>
      <c r="M265" s="312"/>
      <c r="T265" s="312"/>
    </row>
    <row r="266" spans="6:20" x14ac:dyDescent="0.2">
      <c r="F266" s="312"/>
      <c r="M266" s="312"/>
      <c r="T266" s="312"/>
    </row>
    <row r="267" spans="6:20" x14ac:dyDescent="0.2">
      <c r="F267" s="312"/>
      <c r="M267" s="312"/>
      <c r="T267" s="312"/>
    </row>
    <row r="268" spans="6:20" x14ac:dyDescent="0.2">
      <c r="F268" s="312"/>
      <c r="M268" s="312"/>
      <c r="T268" s="312"/>
    </row>
    <row r="269" spans="6:20" x14ac:dyDescent="0.2">
      <c r="F269" s="312"/>
      <c r="M269" s="312"/>
      <c r="T269" s="312"/>
    </row>
    <row r="270" spans="6:20" x14ac:dyDescent="0.2">
      <c r="F270" s="312"/>
      <c r="M270" s="312"/>
      <c r="T270" s="312"/>
    </row>
    <row r="271" spans="6:20" x14ac:dyDescent="0.2">
      <c r="F271" s="312"/>
      <c r="M271" s="312"/>
      <c r="T271" s="312"/>
    </row>
    <row r="272" spans="6:20" x14ac:dyDescent="0.2">
      <c r="F272" s="312"/>
      <c r="M272" s="312"/>
      <c r="T272" s="312"/>
    </row>
    <row r="273" spans="6:20" x14ac:dyDescent="0.2">
      <c r="F273" s="312"/>
      <c r="M273" s="312"/>
      <c r="T273" s="312"/>
    </row>
    <row r="274" spans="6:20" x14ac:dyDescent="0.2">
      <c r="F274" s="312"/>
      <c r="M274" s="312"/>
      <c r="T274" s="312"/>
    </row>
    <row r="275" spans="6:20" x14ac:dyDescent="0.2">
      <c r="F275" s="312"/>
      <c r="M275" s="312"/>
      <c r="T275" s="312"/>
    </row>
    <row r="276" spans="6:20" x14ac:dyDescent="0.2">
      <c r="F276" s="312"/>
      <c r="M276" s="312"/>
      <c r="T276" s="312"/>
    </row>
    <row r="277" spans="6:20" x14ac:dyDescent="0.2">
      <c r="F277" s="312"/>
      <c r="M277" s="312"/>
      <c r="T277" s="312"/>
    </row>
    <row r="278" spans="6:20" x14ac:dyDescent="0.2">
      <c r="F278" s="312"/>
      <c r="M278" s="312"/>
      <c r="T278" s="312"/>
    </row>
    <row r="279" spans="6:20" x14ac:dyDescent="0.2">
      <c r="F279" s="312"/>
      <c r="M279" s="312"/>
      <c r="T279" s="312"/>
    </row>
    <row r="280" spans="6:20" x14ac:dyDescent="0.2">
      <c r="F280" s="312"/>
      <c r="M280" s="312"/>
      <c r="T280" s="312"/>
    </row>
    <row r="281" spans="6:20" x14ac:dyDescent="0.2">
      <c r="F281" s="312"/>
      <c r="M281" s="312"/>
      <c r="T281" s="312"/>
    </row>
    <row r="282" spans="6:20" x14ac:dyDescent="0.2">
      <c r="F282" s="312"/>
      <c r="M282" s="312"/>
      <c r="T282" s="312"/>
    </row>
    <row r="283" spans="6:20" x14ac:dyDescent="0.2">
      <c r="F283" s="312"/>
      <c r="M283" s="312"/>
      <c r="T283" s="312"/>
    </row>
    <row r="284" spans="6:20" x14ac:dyDescent="0.2">
      <c r="F284" s="312"/>
      <c r="M284" s="312"/>
      <c r="T284" s="312"/>
    </row>
    <row r="285" spans="6:20" x14ac:dyDescent="0.2">
      <c r="F285" s="312"/>
      <c r="M285" s="312"/>
      <c r="T285" s="312"/>
    </row>
    <row r="286" spans="6:20" x14ac:dyDescent="0.2">
      <c r="F286" s="312"/>
      <c r="M286" s="312"/>
      <c r="T286" s="312"/>
    </row>
    <row r="287" spans="6:20" x14ac:dyDescent="0.2">
      <c r="F287" s="312"/>
      <c r="M287" s="312"/>
      <c r="T287" s="312"/>
    </row>
    <row r="288" spans="6:20" x14ac:dyDescent="0.2">
      <c r="F288" s="312"/>
      <c r="M288" s="312"/>
      <c r="T288" s="312"/>
    </row>
    <row r="289" spans="6:20" x14ac:dyDescent="0.2">
      <c r="F289" s="312"/>
      <c r="M289" s="312"/>
      <c r="T289" s="312"/>
    </row>
    <row r="290" spans="6:20" x14ac:dyDescent="0.2">
      <c r="F290" s="312"/>
      <c r="M290" s="312"/>
      <c r="T290" s="312"/>
    </row>
    <row r="291" spans="6:20" x14ac:dyDescent="0.2">
      <c r="F291" s="312"/>
      <c r="M291" s="312"/>
      <c r="T291" s="312"/>
    </row>
    <row r="292" spans="6:20" x14ac:dyDescent="0.2">
      <c r="F292" s="312"/>
      <c r="M292" s="312"/>
      <c r="T292" s="312"/>
    </row>
    <row r="293" spans="6:20" x14ac:dyDescent="0.2">
      <c r="F293" s="312"/>
      <c r="M293" s="312"/>
      <c r="T293" s="312"/>
    </row>
    <row r="294" spans="6:20" x14ac:dyDescent="0.2">
      <c r="F294" s="312"/>
      <c r="M294" s="312"/>
      <c r="T294" s="312"/>
    </row>
    <row r="295" spans="6:20" x14ac:dyDescent="0.2">
      <c r="F295" s="312"/>
      <c r="M295" s="312"/>
      <c r="T295" s="312"/>
    </row>
    <row r="296" spans="6:20" x14ac:dyDescent="0.2">
      <c r="F296" s="312"/>
      <c r="M296" s="312"/>
      <c r="T296" s="312"/>
    </row>
    <row r="297" spans="6:20" x14ac:dyDescent="0.2">
      <c r="F297" s="312"/>
      <c r="M297" s="312"/>
      <c r="T297" s="312"/>
    </row>
    <row r="298" spans="6:20" x14ac:dyDescent="0.2">
      <c r="F298" s="312"/>
      <c r="M298" s="312"/>
      <c r="T298" s="312"/>
    </row>
    <row r="299" spans="6:20" x14ac:dyDescent="0.2">
      <c r="F299" s="312"/>
      <c r="M299" s="312"/>
      <c r="T299" s="312"/>
    </row>
    <row r="300" spans="6:20" x14ac:dyDescent="0.2">
      <c r="F300" s="312"/>
      <c r="M300" s="312"/>
      <c r="T300" s="312"/>
    </row>
    <row r="301" spans="6:20" x14ac:dyDescent="0.2">
      <c r="F301" s="312"/>
      <c r="M301" s="312"/>
      <c r="T301" s="312"/>
    </row>
    <row r="302" spans="6:20" x14ac:dyDescent="0.2">
      <c r="F302" s="312"/>
      <c r="M302" s="312"/>
      <c r="T302" s="312"/>
    </row>
    <row r="303" spans="6:20" x14ac:dyDescent="0.2">
      <c r="F303" s="312"/>
      <c r="M303" s="312"/>
      <c r="T303" s="312"/>
    </row>
    <row r="304" spans="6:20" x14ac:dyDescent="0.2">
      <c r="F304" s="312"/>
      <c r="M304" s="312"/>
      <c r="T304" s="312"/>
    </row>
    <row r="305" spans="6:20" x14ac:dyDescent="0.2">
      <c r="F305" s="312"/>
      <c r="M305" s="312"/>
      <c r="T305" s="312"/>
    </row>
    <row r="306" spans="6:20" x14ac:dyDescent="0.2">
      <c r="F306" s="312"/>
      <c r="M306" s="312"/>
      <c r="T306" s="312"/>
    </row>
    <row r="307" spans="6:20" x14ac:dyDescent="0.2">
      <c r="F307" s="312"/>
      <c r="M307" s="312"/>
      <c r="T307" s="312"/>
    </row>
    <row r="308" spans="6:20" x14ac:dyDescent="0.2">
      <c r="F308" s="312"/>
      <c r="M308" s="312"/>
      <c r="T308" s="312"/>
    </row>
    <row r="309" spans="6:20" x14ac:dyDescent="0.2">
      <c r="F309" s="312"/>
      <c r="M309" s="312"/>
      <c r="T309" s="312"/>
    </row>
    <row r="310" spans="6:20" x14ac:dyDescent="0.2">
      <c r="F310" s="312"/>
      <c r="M310" s="312"/>
      <c r="T310" s="312"/>
    </row>
    <row r="311" spans="6:20" x14ac:dyDescent="0.2">
      <c r="F311" s="312"/>
      <c r="M311" s="312"/>
      <c r="T311" s="312"/>
    </row>
    <row r="312" spans="6:20" x14ac:dyDescent="0.2">
      <c r="F312" s="312"/>
      <c r="M312" s="312"/>
      <c r="T312" s="312"/>
    </row>
    <row r="313" spans="6:20" x14ac:dyDescent="0.2">
      <c r="F313" s="312"/>
      <c r="M313" s="312"/>
      <c r="T313" s="312"/>
    </row>
    <row r="314" spans="6:20" x14ac:dyDescent="0.2">
      <c r="F314" s="312"/>
      <c r="M314" s="312"/>
    </row>
    <row r="315" spans="6:20" x14ac:dyDescent="0.2">
      <c r="F315" s="312"/>
      <c r="M315" s="312"/>
    </row>
    <row r="316" spans="6:20" x14ac:dyDescent="0.2">
      <c r="F316" s="312"/>
      <c r="M316" s="312"/>
    </row>
    <row r="317" spans="6:20" x14ac:dyDescent="0.2">
      <c r="F317" s="312"/>
      <c r="M317" s="312"/>
    </row>
    <row r="318" spans="6:20" x14ac:dyDescent="0.2">
      <c r="F318" s="312"/>
      <c r="M318" s="312"/>
      <c r="T318" s="312"/>
    </row>
    <row r="319" spans="6:20" x14ac:dyDescent="0.2">
      <c r="F319" s="312"/>
      <c r="M319" s="312"/>
      <c r="T319" s="312"/>
    </row>
    <row r="320" spans="6:20" x14ac:dyDescent="0.2">
      <c r="F320" s="312"/>
      <c r="M320" s="312"/>
      <c r="T320" s="312"/>
    </row>
    <row r="321" spans="6:20" x14ac:dyDescent="0.2">
      <c r="F321" s="312"/>
      <c r="M321" s="312"/>
      <c r="T321" s="312"/>
    </row>
    <row r="322" spans="6:20" x14ac:dyDescent="0.2">
      <c r="F322" s="312"/>
      <c r="M322" s="312"/>
      <c r="T322" s="312"/>
    </row>
    <row r="323" spans="6:20" x14ac:dyDescent="0.2">
      <c r="F323" s="312"/>
      <c r="M323" s="312"/>
      <c r="T323" s="312"/>
    </row>
    <row r="324" spans="6:20" x14ac:dyDescent="0.2">
      <c r="F324" s="312"/>
      <c r="M324" s="312"/>
      <c r="T324" s="312"/>
    </row>
    <row r="325" spans="6:20" x14ac:dyDescent="0.2">
      <c r="F325" s="312"/>
      <c r="M325" s="312"/>
      <c r="T325" s="312"/>
    </row>
    <row r="326" spans="6:20" x14ac:dyDescent="0.2">
      <c r="F326" s="312"/>
      <c r="M326" s="312"/>
      <c r="T326" s="312"/>
    </row>
    <row r="327" spans="6:20" x14ac:dyDescent="0.2">
      <c r="F327" s="312"/>
      <c r="M327" s="312"/>
      <c r="T327" s="312"/>
    </row>
    <row r="328" spans="6:20" x14ac:dyDescent="0.2">
      <c r="F328" s="312"/>
      <c r="M328" s="312"/>
      <c r="T328" s="312"/>
    </row>
    <row r="329" spans="6:20" x14ac:dyDescent="0.2">
      <c r="F329" s="312"/>
      <c r="M329" s="312"/>
      <c r="T329" s="312"/>
    </row>
    <row r="330" spans="6:20" x14ac:dyDescent="0.2">
      <c r="F330" s="312"/>
      <c r="M330" s="312"/>
      <c r="T330" s="312"/>
    </row>
    <row r="331" spans="6:20" x14ac:dyDescent="0.2">
      <c r="F331" s="312"/>
      <c r="M331" s="312"/>
      <c r="T331" s="312"/>
    </row>
    <row r="332" spans="6:20" x14ac:dyDescent="0.2">
      <c r="F332" s="312"/>
      <c r="M332" s="312"/>
      <c r="T332" s="312"/>
    </row>
    <row r="333" spans="6:20" x14ac:dyDescent="0.2">
      <c r="F333" s="312"/>
      <c r="M333" s="312"/>
      <c r="T333" s="312"/>
    </row>
    <row r="334" spans="6:20" x14ac:dyDescent="0.2">
      <c r="F334" s="312"/>
      <c r="M334" s="312"/>
      <c r="T334" s="312"/>
    </row>
    <row r="335" spans="6:20" x14ac:dyDescent="0.2">
      <c r="F335" s="312"/>
      <c r="M335" s="312"/>
      <c r="T335" s="312"/>
    </row>
    <row r="336" spans="6:20" x14ac:dyDescent="0.2">
      <c r="F336" s="312"/>
      <c r="M336" s="312"/>
      <c r="T336" s="312"/>
    </row>
    <row r="337" spans="6:20" x14ac:dyDescent="0.2">
      <c r="F337" s="312"/>
      <c r="M337" s="312"/>
      <c r="T337" s="312"/>
    </row>
    <row r="338" spans="6:20" x14ac:dyDescent="0.2">
      <c r="F338" s="312"/>
      <c r="M338" s="312"/>
      <c r="T338" s="312"/>
    </row>
    <row r="339" spans="6:20" x14ac:dyDescent="0.2">
      <c r="F339" s="312"/>
      <c r="M339" s="312"/>
      <c r="T339" s="312"/>
    </row>
    <row r="340" spans="6:20" x14ac:dyDescent="0.2">
      <c r="F340" s="312"/>
      <c r="M340" s="312"/>
      <c r="T340" s="312"/>
    </row>
    <row r="341" spans="6:20" x14ac:dyDescent="0.2">
      <c r="F341" s="312"/>
      <c r="M341" s="312"/>
      <c r="T341" s="312"/>
    </row>
    <row r="342" spans="6:20" x14ac:dyDescent="0.2">
      <c r="F342" s="312"/>
      <c r="M342" s="312"/>
      <c r="T342" s="312"/>
    </row>
    <row r="343" spans="6:20" x14ac:dyDescent="0.2">
      <c r="F343" s="312"/>
      <c r="M343" s="312"/>
      <c r="T343" s="312"/>
    </row>
    <row r="344" spans="6:20" x14ac:dyDescent="0.2">
      <c r="F344" s="312"/>
      <c r="M344" s="312"/>
      <c r="T344" s="312"/>
    </row>
    <row r="345" spans="6:20" x14ac:dyDescent="0.2">
      <c r="F345" s="312"/>
      <c r="M345" s="312"/>
      <c r="T345" s="312"/>
    </row>
    <row r="346" spans="6:20" x14ac:dyDescent="0.2">
      <c r="F346" s="312"/>
      <c r="M346" s="312"/>
    </row>
    <row r="347" spans="6:20" x14ac:dyDescent="0.2">
      <c r="F347" s="312"/>
      <c r="M347" s="312"/>
    </row>
    <row r="348" spans="6:20" x14ac:dyDescent="0.2">
      <c r="F348" s="312"/>
      <c r="M348" s="312"/>
    </row>
    <row r="349" spans="6:20" x14ac:dyDescent="0.2">
      <c r="F349" s="312"/>
      <c r="M349" s="312"/>
      <c r="T349" s="312"/>
    </row>
    <row r="350" spans="6:20" x14ac:dyDescent="0.2">
      <c r="F350" s="312"/>
      <c r="M350" s="312"/>
      <c r="T350" s="312"/>
    </row>
    <row r="351" spans="6:20" x14ac:dyDescent="0.2">
      <c r="F351" s="312"/>
      <c r="M351" s="312"/>
      <c r="T351" s="312"/>
    </row>
    <row r="352" spans="6:20" x14ac:dyDescent="0.2">
      <c r="F352" s="312"/>
      <c r="M352" s="312"/>
      <c r="T352" s="312"/>
    </row>
    <row r="353" spans="6:20" x14ac:dyDescent="0.2">
      <c r="F353" s="312"/>
      <c r="M353" s="312"/>
      <c r="T353" s="312"/>
    </row>
    <row r="354" spans="6:20" x14ac:dyDescent="0.2">
      <c r="F354" s="312"/>
      <c r="M354" s="312"/>
      <c r="T354" s="312"/>
    </row>
    <row r="355" spans="6:20" x14ac:dyDescent="0.2">
      <c r="F355" s="312"/>
      <c r="M355" s="312"/>
      <c r="T355" s="312"/>
    </row>
    <row r="356" spans="6:20" x14ac:dyDescent="0.2">
      <c r="F356" s="312"/>
      <c r="M356" s="312"/>
      <c r="T356" s="312"/>
    </row>
    <row r="357" spans="6:20" x14ac:dyDescent="0.2">
      <c r="F357" s="312"/>
      <c r="M357" s="312"/>
      <c r="T357" s="312"/>
    </row>
    <row r="358" spans="6:20" x14ac:dyDescent="0.2">
      <c r="F358" s="312"/>
      <c r="M358" s="312"/>
      <c r="T358" s="312"/>
    </row>
    <row r="359" spans="6:20" x14ac:dyDescent="0.2">
      <c r="F359" s="312"/>
      <c r="M359" s="312"/>
      <c r="T359" s="312"/>
    </row>
    <row r="360" spans="6:20" x14ac:dyDescent="0.2">
      <c r="F360" s="312"/>
      <c r="M360" s="312"/>
      <c r="T360" s="312"/>
    </row>
    <row r="361" spans="6:20" x14ac:dyDescent="0.2">
      <c r="F361" s="312"/>
      <c r="M361" s="312"/>
      <c r="T361" s="312"/>
    </row>
    <row r="362" spans="6:20" x14ac:dyDescent="0.2">
      <c r="F362" s="312"/>
      <c r="M362" s="312"/>
      <c r="T362" s="312"/>
    </row>
    <row r="363" spans="6:20" x14ac:dyDescent="0.2">
      <c r="F363" s="312"/>
      <c r="M363" s="312"/>
      <c r="T363" s="312"/>
    </row>
    <row r="364" spans="6:20" x14ac:dyDescent="0.2">
      <c r="F364" s="312"/>
      <c r="M364" s="312"/>
      <c r="T364" s="312"/>
    </row>
    <row r="365" spans="6:20" x14ac:dyDescent="0.2">
      <c r="F365" s="312"/>
      <c r="M365" s="312"/>
      <c r="T365" s="312"/>
    </row>
    <row r="366" spans="6:20" x14ac:dyDescent="0.2">
      <c r="F366" s="312"/>
      <c r="M366" s="312"/>
      <c r="T366" s="312"/>
    </row>
    <row r="367" spans="6:20" x14ac:dyDescent="0.2">
      <c r="F367" s="312"/>
      <c r="M367" s="312"/>
      <c r="T367" s="312"/>
    </row>
    <row r="368" spans="6:20" x14ac:dyDescent="0.2">
      <c r="F368" s="312"/>
      <c r="M368" s="312"/>
      <c r="T368" s="312"/>
    </row>
    <row r="369" spans="6:20" x14ac:dyDescent="0.2">
      <c r="F369" s="312"/>
      <c r="M369" s="312"/>
      <c r="T369" s="312"/>
    </row>
    <row r="370" spans="6:20" x14ac:dyDescent="0.2">
      <c r="F370" s="312"/>
      <c r="M370" s="312"/>
      <c r="T370" s="312"/>
    </row>
    <row r="371" spans="6:20" x14ac:dyDescent="0.2">
      <c r="F371" s="312"/>
      <c r="M371" s="312"/>
      <c r="T371" s="312"/>
    </row>
    <row r="372" spans="6:20" x14ac:dyDescent="0.2">
      <c r="F372" s="312"/>
      <c r="M372" s="312"/>
      <c r="T372" s="312"/>
    </row>
    <row r="373" spans="6:20" x14ac:dyDescent="0.2">
      <c r="F373" s="312"/>
      <c r="M373" s="312"/>
      <c r="T373" s="312"/>
    </row>
    <row r="374" spans="6:20" x14ac:dyDescent="0.2">
      <c r="F374" s="312"/>
      <c r="M374" s="312"/>
      <c r="T374" s="312"/>
    </row>
    <row r="375" spans="6:20" x14ac:dyDescent="0.2">
      <c r="F375" s="312"/>
      <c r="M375" s="312"/>
      <c r="T375" s="312"/>
    </row>
    <row r="376" spans="6:20" x14ac:dyDescent="0.2">
      <c r="F376" s="312"/>
      <c r="M376" s="312"/>
      <c r="T376" s="312"/>
    </row>
    <row r="377" spans="6:20" x14ac:dyDescent="0.2">
      <c r="F377" s="312"/>
      <c r="M377" s="312"/>
      <c r="T377" s="312"/>
    </row>
    <row r="378" spans="6:20" x14ac:dyDescent="0.2">
      <c r="F378" s="312"/>
      <c r="M378" s="312"/>
      <c r="T378" s="312"/>
    </row>
    <row r="379" spans="6:20" x14ac:dyDescent="0.2">
      <c r="F379" s="312"/>
      <c r="M379" s="312"/>
    </row>
    <row r="380" spans="6:20" x14ac:dyDescent="0.2">
      <c r="F380" s="312"/>
      <c r="M380" s="312"/>
    </row>
    <row r="381" spans="6:20" x14ac:dyDescent="0.2">
      <c r="F381" s="312"/>
      <c r="M381" s="312"/>
      <c r="T381" s="312"/>
    </row>
    <row r="382" spans="6:20" x14ac:dyDescent="0.2">
      <c r="F382" s="312"/>
      <c r="M382" s="312"/>
      <c r="T382" s="312"/>
    </row>
    <row r="383" spans="6:20" x14ac:dyDescent="0.2">
      <c r="F383" s="312"/>
      <c r="M383" s="312"/>
      <c r="T383" s="312"/>
    </row>
    <row r="384" spans="6:20" x14ac:dyDescent="0.2">
      <c r="F384" s="312"/>
      <c r="M384" s="312"/>
      <c r="T384" s="312"/>
    </row>
    <row r="385" spans="6:20" x14ac:dyDescent="0.2">
      <c r="F385" s="312"/>
      <c r="M385" s="312"/>
      <c r="T385" s="312"/>
    </row>
    <row r="386" spans="6:20" x14ac:dyDescent="0.2">
      <c r="F386" s="312"/>
      <c r="M386" s="312"/>
      <c r="T386" s="312"/>
    </row>
    <row r="387" spans="6:20" x14ac:dyDescent="0.2">
      <c r="F387" s="312"/>
      <c r="M387" s="312"/>
      <c r="T387" s="312"/>
    </row>
    <row r="388" spans="6:20" x14ac:dyDescent="0.2">
      <c r="F388" s="312"/>
      <c r="M388" s="312"/>
      <c r="T388" s="312"/>
    </row>
    <row r="389" spans="6:20" x14ac:dyDescent="0.2">
      <c r="F389" s="312"/>
      <c r="M389" s="312"/>
      <c r="T389" s="312"/>
    </row>
    <row r="390" spans="6:20" x14ac:dyDescent="0.2">
      <c r="F390" s="312"/>
      <c r="M390" s="312"/>
      <c r="T390" s="312"/>
    </row>
    <row r="391" spans="6:20" x14ac:dyDescent="0.2">
      <c r="F391" s="312"/>
      <c r="M391" s="312"/>
      <c r="T391" s="312"/>
    </row>
    <row r="392" spans="6:20" x14ac:dyDescent="0.2">
      <c r="F392" s="312"/>
      <c r="M392" s="312"/>
      <c r="T392" s="312"/>
    </row>
    <row r="393" spans="6:20" x14ac:dyDescent="0.2">
      <c r="F393" s="312"/>
      <c r="M393" s="312"/>
      <c r="T393" s="312"/>
    </row>
    <row r="394" spans="6:20" x14ac:dyDescent="0.2">
      <c r="F394" s="312"/>
      <c r="M394" s="312"/>
      <c r="T394" s="312"/>
    </row>
    <row r="395" spans="6:20" x14ac:dyDescent="0.2">
      <c r="F395" s="312"/>
      <c r="M395" s="312"/>
      <c r="T395" s="312"/>
    </row>
    <row r="396" spans="6:20" x14ac:dyDescent="0.2">
      <c r="F396" s="312"/>
      <c r="M396" s="312"/>
      <c r="T396" s="312"/>
    </row>
    <row r="397" spans="6:20" x14ac:dyDescent="0.2">
      <c r="F397" s="312"/>
      <c r="M397" s="312"/>
      <c r="T397" s="312"/>
    </row>
    <row r="398" spans="6:20" x14ac:dyDescent="0.2">
      <c r="F398" s="312"/>
      <c r="M398" s="312"/>
      <c r="T398" s="312"/>
    </row>
    <row r="399" spans="6:20" x14ac:dyDescent="0.2">
      <c r="F399" s="312"/>
      <c r="M399" s="312"/>
      <c r="T399" s="312"/>
    </row>
    <row r="400" spans="6:20" x14ac:dyDescent="0.2">
      <c r="F400" s="312"/>
      <c r="M400" s="312"/>
      <c r="T400" s="312"/>
    </row>
    <row r="401" spans="6:20" x14ac:dyDescent="0.2">
      <c r="F401" s="312"/>
      <c r="M401" s="312"/>
      <c r="T401" s="312"/>
    </row>
    <row r="402" spans="6:20" x14ac:dyDescent="0.2">
      <c r="F402" s="312"/>
      <c r="M402" s="312"/>
      <c r="T402" s="312"/>
    </row>
    <row r="403" spans="6:20" x14ac:dyDescent="0.2">
      <c r="F403" s="312"/>
      <c r="M403" s="312"/>
      <c r="T403" s="312"/>
    </row>
    <row r="404" spans="6:20" x14ac:dyDescent="0.2">
      <c r="F404" s="312"/>
      <c r="M404" s="312"/>
      <c r="T404" s="312"/>
    </row>
    <row r="405" spans="6:20" x14ac:dyDescent="0.2">
      <c r="F405" s="312"/>
      <c r="M405" s="312"/>
      <c r="T405" s="312"/>
    </row>
    <row r="406" spans="6:20" x14ac:dyDescent="0.2">
      <c r="F406" s="312"/>
      <c r="M406" s="312"/>
      <c r="T406" s="312"/>
    </row>
    <row r="407" spans="6:20" x14ac:dyDescent="0.2">
      <c r="F407" s="312"/>
      <c r="M407" s="312"/>
      <c r="T407" s="312"/>
    </row>
    <row r="408" spans="6:20" x14ac:dyDescent="0.2">
      <c r="F408" s="312"/>
      <c r="M408" s="312"/>
      <c r="T408" s="312"/>
    </row>
    <row r="409" spans="6:20" x14ac:dyDescent="0.2">
      <c r="F409" s="312"/>
      <c r="M409" s="312"/>
      <c r="T409" s="312"/>
    </row>
    <row r="410" spans="6:20" x14ac:dyDescent="0.2">
      <c r="F410" s="312"/>
      <c r="M410" s="312"/>
      <c r="T410" s="312"/>
    </row>
    <row r="411" spans="6:20" x14ac:dyDescent="0.2">
      <c r="F411" s="312"/>
      <c r="M411" s="312"/>
      <c r="T411" s="312"/>
    </row>
    <row r="412" spans="6:20" x14ac:dyDescent="0.2">
      <c r="F412" s="312"/>
      <c r="M412" s="312"/>
      <c r="T412" s="312"/>
    </row>
    <row r="413" spans="6:20" x14ac:dyDescent="0.2">
      <c r="F413" s="312"/>
      <c r="M413" s="312"/>
    </row>
    <row r="414" spans="6:20" x14ac:dyDescent="0.2">
      <c r="F414" s="312"/>
      <c r="M414" s="312"/>
      <c r="T414" s="312"/>
    </row>
    <row r="415" spans="6:20" x14ac:dyDescent="0.2">
      <c r="F415" s="312"/>
      <c r="M415" s="312"/>
      <c r="T415" s="312"/>
    </row>
    <row r="416" spans="6:20" x14ac:dyDescent="0.2">
      <c r="F416" s="312"/>
      <c r="M416" s="312"/>
      <c r="T416" s="312"/>
    </row>
    <row r="417" spans="6:20" x14ac:dyDescent="0.2">
      <c r="F417" s="312"/>
      <c r="M417" s="312"/>
      <c r="T417" s="312"/>
    </row>
    <row r="418" spans="6:20" x14ac:dyDescent="0.2">
      <c r="F418" s="312"/>
      <c r="M418" s="312"/>
      <c r="T418" s="312"/>
    </row>
    <row r="419" spans="6:20" x14ac:dyDescent="0.2">
      <c r="F419" s="312"/>
      <c r="M419" s="312"/>
      <c r="T419" s="312"/>
    </row>
    <row r="420" spans="6:20" x14ac:dyDescent="0.2">
      <c r="F420" s="312"/>
      <c r="M420" s="312"/>
      <c r="T420" s="312"/>
    </row>
    <row r="421" spans="6:20" x14ac:dyDescent="0.2">
      <c r="F421" s="312"/>
      <c r="M421" s="312"/>
      <c r="T421" s="312"/>
    </row>
    <row r="422" spans="6:20" x14ac:dyDescent="0.2">
      <c r="F422" s="312"/>
      <c r="M422" s="312"/>
      <c r="T422" s="312"/>
    </row>
    <row r="423" spans="6:20" x14ac:dyDescent="0.2">
      <c r="F423" s="312"/>
      <c r="M423" s="312"/>
      <c r="T423" s="312"/>
    </row>
    <row r="424" spans="6:20" x14ac:dyDescent="0.2">
      <c r="F424" s="312"/>
      <c r="M424" s="312"/>
      <c r="T424" s="312"/>
    </row>
    <row r="425" spans="6:20" x14ac:dyDescent="0.2">
      <c r="F425" s="312"/>
      <c r="M425" s="312"/>
      <c r="T425" s="312"/>
    </row>
    <row r="426" spans="6:20" x14ac:dyDescent="0.2">
      <c r="F426" s="312"/>
      <c r="M426" s="312"/>
      <c r="T426" s="312"/>
    </row>
    <row r="427" spans="6:20" x14ac:dyDescent="0.2">
      <c r="F427" s="312"/>
      <c r="M427" s="312"/>
      <c r="T427" s="312"/>
    </row>
    <row r="428" spans="6:20" x14ac:dyDescent="0.2">
      <c r="F428" s="312"/>
      <c r="M428" s="312"/>
      <c r="T428" s="312"/>
    </row>
    <row r="429" spans="6:20" x14ac:dyDescent="0.2">
      <c r="F429" s="312"/>
      <c r="M429" s="312"/>
      <c r="T429" s="312"/>
    </row>
    <row r="430" spans="6:20" x14ac:dyDescent="0.2">
      <c r="F430" s="312"/>
      <c r="M430" s="312"/>
      <c r="T430" s="312"/>
    </row>
    <row r="431" spans="6:20" x14ac:dyDescent="0.2">
      <c r="F431" s="312"/>
      <c r="M431" s="312"/>
      <c r="T431" s="312"/>
    </row>
    <row r="432" spans="6:20" x14ac:dyDescent="0.2">
      <c r="F432" s="312"/>
      <c r="M432" s="312"/>
      <c r="T432" s="312"/>
    </row>
    <row r="433" spans="6:20" x14ac:dyDescent="0.2">
      <c r="F433" s="312"/>
      <c r="M433" s="312"/>
      <c r="T433" s="312"/>
    </row>
    <row r="434" spans="6:20" x14ac:dyDescent="0.2">
      <c r="F434" s="312"/>
      <c r="M434" s="312"/>
      <c r="T434" s="312"/>
    </row>
    <row r="435" spans="6:20" x14ac:dyDescent="0.2">
      <c r="F435" s="312"/>
      <c r="M435" s="312"/>
      <c r="T435" s="312"/>
    </row>
    <row r="436" spans="6:20" x14ac:dyDescent="0.2">
      <c r="F436" s="312"/>
      <c r="M436" s="312"/>
      <c r="T436" s="312"/>
    </row>
    <row r="437" spans="6:20" x14ac:dyDescent="0.2">
      <c r="F437" s="312"/>
      <c r="M437" s="312"/>
      <c r="T437" s="312"/>
    </row>
    <row r="438" spans="6:20" x14ac:dyDescent="0.2">
      <c r="F438" s="312"/>
      <c r="M438" s="312"/>
      <c r="T438" s="312"/>
    </row>
    <row r="439" spans="6:20" x14ac:dyDescent="0.2">
      <c r="F439" s="312"/>
      <c r="M439" s="312"/>
      <c r="T439" s="312"/>
    </row>
    <row r="440" spans="6:20" x14ac:dyDescent="0.2">
      <c r="F440" s="312"/>
      <c r="M440" s="312"/>
      <c r="T440" s="312"/>
    </row>
    <row r="441" spans="6:20" x14ac:dyDescent="0.2">
      <c r="F441" s="312"/>
      <c r="M441" s="312"/>
      <c r="T441" s="312"/>
    </row>
    <row r="442" spans="6:20" x14ac:dyDescent="0.2">
      <c r="F442" s="312"/>
      <c r="M442" s="312"/>
      <c r="T442" s="312"/>
    </row>
    <row r="443" spans="6:20" x14ac:dyDescent="0.2">
      <c r="F443" s="312"/>
      <c r="M443" s="312"/>
    </row>
    <row r="444" spans="6:20" x14ac:dyDescent="0.2">
      <c r="F444" s="312"/>
      <c r="M444" s="312"/>
    </row>
    <row r="445" spans="6:20" x14ac:dyDescent="0.2">
      <c r="F445" s="312"/>
      <c r="M445" s="312"/>
    </row>
    <row r="446" spans="6:20" x14ac:dyDescent="0.2">
      <c r="F446" s="312"/>
      <c r="M446" s="312"/>
    </row>
    <row r="447" spans="6:20" x14ac:dyDescent="0.2">
      <c r="F447" s="312"/>
      <c r="M447" s="312"/>
    </row>
    <row r="448" spans="6:20" x14ac:dyDescent="0.2">
      <c r="F448" s="312"/>
      <c r="M448" s="312"/>
      <c r="T448" s="312"/>
    </row>
    <row r="449" spans="6:20" x14ac:dyDescent="0.2">
      <c r="F449" s="312"/>
      <c r="M449" s="312"/>
      <c r="T449" s="312"/>
    </row>
    <row r="450" spans="6:20" x14ac:dyDescent="0.2">
      <c r="F450" s="312"/>
      <c r="M450" s="312"/>
      <c r="T450" s="312"/>
    </row>
    <row r="451" spans="6:20" x14ac:dyDescent="0.2">
      <c r="F451" s="312"/>
      <c r="M451" s="312"/>
      <c r="T451" s="312"/>
    </row>
    <row r="452" spans="6:20" x14ac:dyDescent="0.2">
      <c r="F452" s="312"/>
      <c r="M452" s="312"/>
      <c r="T452" s="312"/>
    </row>
    <row r="453" spans="6:20" x14ac:dyDescent="0.2">
      <c r="F453" s="312"/>
      <c r="M453" s="312"/>
      <c r="T453" s="312"/>
    </row>
    <row r="454" spans="6:20" x14ac:dyDescent="0.2">
      <c r="F454" s="312"/>
      <c r="M454" s="312"/>
      <c r="T454" s="312"/>
    </row>
    <row r="455" spans="6:20" x14ac:dyDescent="0.2">
      <c r="F455" s="312"/>
      <c r="M455" s="312"/>
      <c r="T455" s="312"/>
    </row>
    <row r="456" spans="6:20" x14ac:dyDescent="0.2">
      <c r="F456" s="312"/>
      <c r="M456" s="312"/>
      <c r="T456" s="312"/>
    </row>
    <row r="457" spans="6:20" x14ac:dyDescent="0.2">
      <c r="F457" s="312"/>
      <c r="M457" s="312"/>
      <c r="T457" s="312"/>
    </row>
    <row r="458" spans="6:20" x14ac:dyDescent="0.2">
      <c r="F458" s="312"/>
      <c r="M458" s="312"/>
      <c r="T458" s="312"/>
    </row>
    <row r="459" spans="6:20" x14ac:dyDescent="0.2">
      <c r="F459" s="312"/>
      <c r="M459" s="312"/>
      <c r="T459" s="312"/>
    </row>
    <row r="460" spans="6:20" x14ac:dyDescent="0.2">
      <c r="F460" s="312"/>
      <c r="M460" s="312"/>
      <c r="T460" s="312"/>
    </row>
    <row r="461" spans="6:20" x14ac:dyDescent="0.2">
      <c r="F461" s="312"/>
      <c r="M461" s="312"/>
      <c r="T461" s="312"/>
    </row>
    <row r="462" spans="6:20" x14ac:dyDescent="0.2">
      <c r="F462" s="312"/>
      <c r="M462" s="312"/>
      <c r="T462" s="312"/>
    </row>
    <row r="463" spans="6:20" x14ac:dyDescent="0.2">
      <c r="F463" s="312"/>
      <c r="M463" s="312"/>
      <c r="T463" s="312"/>
    </row>
    <row r="464" spans="6:20" x14ac:dyDescent="0.2">
      <c r="F464" s="312"/>
      <c r="M464" s="312"/>
      <c r="T464" s="312"/>
    </row>
    <row r="465" spans="6:20" x14ac:dyDescent="0.2">
      <c r="F465" s="312"/>
      <c r="M465" s="312"/>
      <c r="T465" s="312"/>
    </row>
    <row r="466" spans="6:20" x14ac:dyDescent="0.2">
      <c r="F466" s="312"/>
      <c r="M466" s="312"/>
      <c r="T466" s="312"/>
    </row>
    <row r="467" spans="6:20" x14ac:dyDescent="0.2">
      <c r="F467" s="312"/>
      <c r="M467" s="312"/>
      <c r="T467" s="312"/>
    </row>
    <row r="468" spans="6:20" x14ac:dyDescent="0.2">
      <c r="F468" s="312"/>
      <c r="M468" s="312"/>
      <c r="T468" s="312"/>
    </row>
    <row r="469" spans="6:20" x14ac:dyDescent="0.2">
      <c r="F469" s="312"/>
      <c r="M469" s="312"/>
      <c r="T469" s="312"/>
    </row>
    <row r="470" spans="6:20" x14ac:dyDescent="0.2">
      <c r="F470" s="312"/>
      <c r="M470" s="312"/>
      <c r="T470" s="312"/>
    </row>
    <row r="471" spans="6:20" x14ac:dyDescent="0.2">
      <c r="F471" s="312"/>
      <c r="M471" s="312"/>
      <c r="T471" s="312"/>
    </row>
    <row r="472" spans="6:20" x14ac:dyDescent="0.2">
      <c r="F472" s="312"/>
      <c r="M472" s="312"/>
      <c r="T472" s="312"/>
    </row>
    <row r="473" spans="6:20" x14ac:dyDescent="0.2">
      <c r="F473" s="312"/>
      <c r="M473" s="312"/>
    </row>
    <row r="474" spans="6:20" x14ac:dyDescent="0.2">
      <c r="F474" s="312"/>
      <c r="M474" s="312"/>
    </row>
    <row r="475" spans="6:20" x14ac:dyDescent="0.2">
      <c r="F475" s="312"/>
      <c r="M475" s="312"/>
    </row>
    <row r="476" spans="6:20" x14ac:dyDescent="0.2">
      <c r="F476" s="312"/>
      <c r="M476" s="312"/>
    </row>
    <row r="477" spans="6:20" x14ac:dyDescent="0.2">
      <c r="F477" s="312"/>
      <c r="M477" s="312"/>
    </row>
    <row r="478" spans="6:20" x14ac:dyDescent="0.2">
      <c r="F478" s="312"/>
      <c r="M478" s="312"/>
    </row>
    <row r="479" spans="6:20" x14ac:dyDescent="0.2">
      <c r="F479" s="312"/>
      <c r="M479" s="312"/>
    </row>
    <row r="480" spans="6:20" x14ac:dyDescent="0.2">
      <c r="F480" s="312"/>
      <c r="M480" s="312"/>
    </row>
    <row r="481" spans="6:20" x14ac:dyDescent="0.2">
      <c r="F481" s="312"/>
      <c r="M481" s="312"/>
    </row>
    <row r="482" spans="6:20" x14ac:dyDescent="0.2">
      <c r="F482" s="312"/>
      <c r="M482" s="312"/>
    </row>
    <row r="483" spans="6:20" x14ac:dyDescent="0.2">
      <c r="F483" s="312"/>
      <c r="M483" s="312"/>
      <c r="T483" s="312"/>
    </row>
    <row r="484" spans="6:20" x14ac:dyDescent="0.2">
      <c r="F484" s="312"/>
      <c r="M484" s="312"/>
      <c r="T484" s="312"/>
    </row>
    <row r="485" spans="6:20" x14ac:dyDescent="0.2">
      <c r="F485" s="312"/>
      <c r="M485" s="312"/>
      <c r="T485" s="312"/>
    </row>
    <row r="486" spans="6:20" x14ac:dyDescent="0.2">
      <c r="F486" s="312"/>
      <c r="M486" s="312"/>
      <c r="T486" s="312"/>
    </row>
    <row r="487" spans="6:20" x14ac:dyDescent="0.2">
      <c r="F487" s="312"/>
      <c r="M487" s="312"/>
      <c r="T487" s="312"/>
    </row>
    <row r="488" spans="6:20" x14ac:dyDescent="0.2">
      <c r="F488" s="312"/>
      <c r="M488" s="312"/>
      <c r="T488" s="312"/>
    </row>
    <row r="489" spans="6:20" x14ac:dyDescent="0.2">
      <c r="F489" s="312"/>
      <c r="M489" s="312"/>
      <c r="T489" s="312"/>
    </row>
    <row r="490" spans="6:20" x14ac:dyDescent="0.2">
      <c r="F490" s="312"/>
      <c r="M490" s="312"/>
      <c r="T490" s="312"/>
    </row>
    <row r="491" spans="6:20" x14ac:dyDescent="0.2">
      <c r="F491" s="312"/>
      <c r="M491" s="312"/>
      <c r="T491" s="312"/>
    </row>
    <row r="492" spans="6:20" x14ac:dyDescent="0.2">
      <c r="F492" s="312"/>
      <c r="M492" s="312"/>
      <c r="T492" s="312"/>
    </row>
    <row r="493" spans="6:20" x14ac:dyDescent="0.2">
      <c r="F493" s="312"/>
      <c r="M493" s="312"/>
      <c r="T493" s="312"/>
    </row>
    <row r="494" spans="6:20" x14ac:dyDescent="0.2">
      <c r="F494" s="312"/>
      <c r="M494" s="312"/>
      <c r="T494" s="312"/>
    </row>
    <row r="495" spans="6:20" x14ac:dyDescent="0.2">
      <c r="F495" s="312"/>
      <c r="M495" s="312"/>
      <c r="T495" s="312"/>
    </row>
    <row r="496" spans="6:20" x14ac:dyDescent="0.2">
      <c r="F496" s="312"/>
      <c r="M496" s="312"/>
      <c r="T496" s="312"/>
    </row>
    <row r="497" spans="6:20" x14ac:dyDescent="0.2">
      <c r="F497" s="312"/>
      <c r="M497" s="312"/>
      <c r="T497" s="312"/>
    </row>
    <row r="498" spans="6:20" x14ac:dyDescent="0.2">
      <c r="F498" s="312"/>
      <c r="M498" s="312"/>
      <c r="T498" s="312"/>
    </row>
    <row r="499" spans="6:20" x14ac:dyDescent="0.2">
      <c r="F499" s="312"/>
      <c r="M499" s="312"/>
      <c r="T499" s="312"/>
    </row>
    <row r="500" spans="6:20" x14ac:dyDescent="0.2">
      <c r="F500" s="312"/>
      <c r="M500" s="312"/>
      <c r="T500" s="312"/>
    </row>
    <row r="501" spans="6:20" x14ac:dyDescent="0.2">
      <c r="F501" s="312"/>
      <c r="M501" s="312"/>
      <c r="T501" s="312"/>
    </row>
    <row r="502" spans="6:20" x14ac:dyDescent="0.2">
      <c r="F502" s="312"/>
      <c r="M502" s="312"/>
    </row>
    <row r="503" spans="6:20" x14ac:dyDescent="0.2">
      <c r="F503" s="312"/>
      <c r="M503" s="312"/>
    </row>
    <row r="504" spans="6:20" x14ac:dyDescent="0.2">
      <c r="F504" s="312"/>
      <c r="M504" s="312"/>
    </row>
    <row r="505" spans="6:20" x14ac:dyDescent="0.2">
      <c r="F505" s="312"/>
      <c r="M505" s="312"/>
    </row>
    <row r="506" spans="6:20" x14ac:dyDescent="0.2">
      <c r="F506" s="312"/>
      <c r="M506" s="312"/>
    </row>
    <row r="507" spans="6:20" x14ac:dyDescent="0.2">
      <c r="F507" s="312"/>
      <c r="M507" s="312"/>
    </row>
    <row r="508" spans="6:20" x14ac:dyDescent="0.2">
      <c r="F508" s="312"/>
      <c r="M508" s="312"/>
    </row>
    <row r="509" spans="6:20" x14ac:dyDescent="0.2">
      <c r="F509" s="312"/>
      <c r="M509" s="312"/>
    </row>
    <row r="510" spans="6:20" x14ac:dyDescent="0.2">
      <c r="F510" s="312"/>
      <c r="M510" s="312"/>
    </row>
    <row r="511" spans="6:20" x14ac:dyDescent="0.2">
      <c r="F511" s="312"/>
      <c r="M511" s="312"/>
    </row>
    <row r="512" spans="6:20" x14ac:dyDescent="0.2">
      <c r="F512" s="312"/>
      <c r="M512" s="312"/>
    </row>
    <row r="513" spans="6:13" x14ac:dyDescent="0.2">
      <c r="F513" s="312"/>
      <c r="M513" s="312"/>
    </row>
    <row r="514" spans="6:13" x14ac:dyDescent="0.2">
      <c r="F514" s="312"/>
      <c r="M514" s="312"/>
    </row>
    <row r="515" spans="6:13" x14ac:dyDescent="0.2">
      <c r="F515" s="312"/>
      <c r="M515" s="312"/>
    </row>
    <row r="516" spans="6:13" x14ac:dyDescent="0.2">
      <c r="F516" s="312"/>
      <c r="M516" s="312"/>
    </row>
    <row r="517" spans="6:13" x14ac:dyDescent="0.2">
      <c r="F517" s="312"/>
      <c r="M517" s="312"/>
    </row>
    <row r="518" spans="6:13" x14ac:dyDescent="0.2">
      <c r="F518" s="312"/>
      <c r="M518" s="312"/>
    </row>
    <row r="519" spans="6:13" x14ac:dyDescent="0.2">
      <c r="F519" s="312"/>
      <c r="M519" s="312"/>
    </row>
    <row r="520" spans="6:13" x14ac:dyDescent="0.2">
      <c r="F520" s="312"/>
      <c r="M520" s="312"/>
    </row>
    <row r="521" spans="6:13" x14ac:dyDescent="0.2">
      <c r="F521" s="312"/>
      <c r="M521" s="312"/>
    </row>
    <row r="522" spans="6:13" x14ac:dyDescent="0.2">
      <c r="F522" s="312"/>
      <c r="M522" s="312"/>
    </row>
    <row r="523" spans="6:13" x14ac:dyDescent="0.2">
      <c r="F523" s="312"/>
      <c r="M523" s="312"/>
    </row>
    <row r="524" spans="6:13" x14ac:dyDescent="0.2">
      <c r="F524" s="312"/>
      <c r="M524" s="312"/>
    </row>
    <row r="525" spans="6:13" x14ac:dyDescent="0.2">
      <c r="F525" s="312"/>
      <c r="M525" s="312"/>
    </row>
    <row r="526" spans="6:13" x14ac:dyDescent="0.2">
      <c r="F526" s="312"/>
      <c r="M526" s="312"/>
    </row>
    <row r="527" spans="6:13" x14ac:dyDescent="0.2">
      <c r="F527" s="312"/>
      <c r="M527" s="312"/>
    </row>
    <row r="528" spans="6:13" x14ac:dyDescent="0.2">
      <c r="F528" s="312"/>
      <c r="M528" s="312"/>
    </row>
    <row r="529" spans="6:13" x14ac:dyDescent="0.2">
      <c r="F529" s="312"/>
      <c r="M529" s="312"/>
    </row>
    <row r="530" spans="6:13" x14ac:dyDescent="0.2">
      <c r="F530" s="312"/>
      <c r="M530" s="312"/>
    </row>
    <row r="531" spans="6:13" x14ac:dyDescent="0.2">
      <c r="F531" s="312"/>
      <c r="M531" s="312"/>
    </row>
    <row r="532" spans="6:13" x14ac:dyDescent="0.2">
      <c r="F532" s="312"/>
      <c r="M532" s="312"/>
    </row>
    <row r="533" spans="6:13" x14ac:dyDescent="0.2">
      <c r="F533" s="312"/>
      <c r="M533" s="312"/>
    </row>
    <row r="534" spans="6:13" x14ac:dyDescent="0.2">
      <c r="F534" s="312"/>
      <c r="M534" s="312"/>
    </row>
    <row r="535" spans="6:13" x14ac:dyDescent="0.2">
      <c r="F535" s="312"/>
      <c r="M535" s="312"/>
    </row>
    <row r="536" spans="6:13" x14ac:dyDescent="0.2">
      <c r="F536" s="312"/>
      <c r="M536" s="312"/>
    </row>
    <row r="537" spans="6:13" x14ac:dyDescent="0.2">
      <c r="F537" s="312"/>
      <c r="M537" s="312"/>
    </row>
    <row r="538" spans="6:13" x14ac:dyDescent="0.2">
      <c r="F538" s="312"/>
      <c r="M538" s="312"/>
    </row>
    <row r="539" spans="6:13" x14ac:dyDescent="0.2">
      <c r="F539" s="312"/>
      <c r="M539" s="312"/>
    </row>
    <row r="540" spans="6:13" x14ac:dyDescent="0.2">
      <c r="F540" s="312"/>
      <c r="M540" s="312"/>
    </row>
    <row r="541" spans="6:13" x14ac:dyDescent="0.2">
      <c r="F541" s="312"/>
      <c r="M541" s="312"/>
    </row>
    <row r="542" spans="6:13" x14ac:dyDescent="0.2">
      <c r="F542" s="312"/>
      <c r="M542" s="312"/>
    </row>
    <row r="543" spans="6:13" x14ac:dyDescent="0.2">
      <c r="F543" s="312"/>
      <c r="M543" s="312"/>
    </row>
    <row r="544" spans="6:13" x14ac:dyDescent="0.2">
      <c r="F544" s="312"/>
      <c r="M544" s="312"/>
    </row>
    <row r="545" spans="6:20" x14ac:dyDescent="0.2">
      <c r="F545" s="312"/>
      <c r="M545" s="312"/>
    </row>
    <row r="546" spans="6:20" x14ac:dyDescent="0.2">
      <c r="F546" s="312"/>
      <c r="M546" s="312"/>
    </row>
    <row r="547" spans="6:20" x14ac:dyDescent="0.2">
      <c r="F547" s="312"/>
      <c r="M547" s="312"/>
    </row>
    <row r="548" spans="6:20" x14ac:dyDescent="0.2">
      <c r="F548" s="312"/>
      <c r="M548" s="312"/>
    </row>
    <row r="549" spans="6:20" x14ac:dyDescent="0.2">
      <c r="F549" s="312"/>
      <c r="M549" s="312"/>
    </row>
    <row r="550" spans="6:20" x14ac:dyDescent="0.2">
      <c r="F550" s="312"/>
      <c r="M550" s="312"/>
    </row>
    <row r="551" spans="6:20" x14ac:dyDescent="0.2">
      <c r="F551" s="312"/>
      <c r="M551" s="312"/>
      <c r="T551" s="312"/>
    </row>
    <row r="552" spans="6:20" x14ac:dyDescent="0.2">
      <c r="F552" s="312"/>
      <c r="M552" s="312"/>
      <c r="T552" s="312"/>
    </row>
    <row r="553" spans="6:20" x14ac:dyDescent="0.2">
      <c r="F553" s="312"/>
      <c r="M553" s="312"/>
      <c r="T553" s="312"/>
    </row>
    <row r="554" spans="6:20" x14ac:dyDescent="0.2">
      <c r="F554" s="312"/>
      <c r="M554" s="312"/>
      <c r="T554" s="312"/>
    </row>
    <row r="555" spans="6:20" x14ac:dyDescent="0.2">
      <c r="F555" s="312"/>
      <c r="M555" s="312"/>
      <c r="T555" s="312"/>
    </row>
    <row r="556" spans="6:20" x14ac:dyDescent="0.2">
      <c r="F556" s="312"/>
      <c r="M556" s="312"/>
      <c r="T556" s="312"/>
    </row>
    <row r="557" spans="6:20" x14ac:dyDescent="0.2">
      <c r="F557" s="312"/>
      <c r="M557" s="312"/>
      <c r="T557" s="312"/>
    </row>
    <row r="558" spans="6:20" x14ac:dyDescent="0.2">
      <c r="F558" s="312"/>
      <c r="M558" s="312"/>
      <c r="T558" s="312"/>
    </row>
    <row r="559" spans="6:20" x14ac:dyDescent="0.2">
      <c r="F559" s="312"/>
      <c r="M559" s="312"/>
      <c r="T559" s="312"/>
    </row>
    <row r="560" spans="6:20" x14ac:dyDescent="0.2">
      <c r="F560" s="312"/>
      <c r="M560" s="312"/>
      <c r="T560" s="312"/>
    </row>
    <row r="561" spans="6:20" x14ac:dyDescent="0.2">
      <c r="F561" s="312"/>
      <c r="M561" s="312"/>
      <c r="T561" s="312"/>
    </row>
    <row r="562" spans="6:20" x14ac:dyDescent="0.2">
      <c r="F562" s="312"/>
      <c r="M562" s="312"/>
      <c r="T562" s="312"/>
    </row>
    <row r="563" spans="6:20" x14ac:dyDescent="0.2">
      <c r="F563" s="312"/>
      <c r="M563" s="312"/>
      <c r="T563" s="312"/>
    </row>
    <row r="564" spans="6:20" x14ac:dyDescent="0.2">
      <c r="F564" s="312"/>
      <c r="M564" s="312"/>
      <c r="T564" s="312"/>
    </row>
    <row r="565" spans="6:20" x14ac:dyDescent="0.2">
      <c r="F565" s="312"/>
      <c r="M565" s="312"/>
      <c r="T565" s="312"/>
    </row>
    <row r="566" spans="6:20" x14ac:dyDescent="0.2">
      <c r="F566" s="312"/>
      <c r="M566" s="312"/>
      <c r="T566" s="312"/>
    </row>
    <row r="567" spans="6:20" x14ac:dyDescent="0.2">
      <c r="F567" s="312"/>
      <c r="M567" s="312"/>
      <c r="T567" s="312"/>
    </row>
    <row r="568" spans="6:20" x14ac:dyDescent="0.2">
      <c r="F568" s="312"/>
      <c r="M568" s="312"/>
      <c r="T568" s="312"/>
    </row>
    <row r="569" spans="6:20" x14ac:dyDescent="0.2">
      <c r="F569" s="312"/>
      <c r="M569" s="312"/>
      <c r="T569" s="312"/>
    </row>
    <row r="570" spans="6:20" x14ac:dyDescent="0.2">
      <c r="F570" s="312"/>
      <c r="M570" s="312"/>
      <c r="T570" s="312"/>
    </row>
    <row r="571" spans="6:20" x14ac:dyDescent="0.2">
      <c r="F571" s="312"/>
      <c r="M571" s="312"/>
      <c r="T571" s="312"/>
    </row>
    <row r="572" spans="6:20" x14ac:dyDescent="0.2">
      <c r="F572" s="312"/>
      <c r="M572" s="312"/>
      <c r="T572" s="312"/>
    </row>
    <row r="573" spans="6:20" x14ac:dyDescent="0.2">
      <c r="F573" s="312"/>
      <c r="M573" s="312"/>
      <c r="T573" s="312"/>
    </row>
    <row r="574" spans="6:20" x14ac:dyDescent="0.2">
      <c r="F574" s="312"/>
      <c r="M574" s="312"/>
      <c r="T574" s="312"/>
    </row>
    <row r="575" spans="6:20" x14ac:dyDescent="0.2">
      <c r="F575" s="312"/>
      <c r="M575" s="312"/>
      <c r="T575" s="312"/>
    </row>
    <row r="576" spans="6:20" x14ac:dyDescent="0.2">
      <c r="F576" s="312"/>
      <c r="M576" s="312"/>
      <c r="T576" s="312"/>
    </row>
    <row r="577" spans="6:20" x14ac:dyDescent="0.2">
      <c r="F577" s="312"/>
      <c r="M577" s="312"/>
      <c r="T577" s="312"/>
    </row>
    <row r="578" spans="6:20" x14ac:dyDescent="0.2">
      <c r="F578" s="312"/>
      <c r="M578" s="312"/>
      <c r="T578" s="312"/>
    </row>
    <row r="579" spans="6:20" x14ac:dyDescent="0.2">
      <c r="F579" s="312"/>
      <c r="M579" s="312"/>
      <c r="T579" s="312"/>
    </row>
    <row r="580" spans="6:20" x14ac:dyDescent="0.2">
      <c r="F580" s="312"/>
      <c r="M580" s="312"/>
      <c r="T580" s="312"/>
    </row>
    <row r="581" spans="6:20" x14ac:dyDescent="0.2">
      <c r="F581" s="312"/>
      <c r="M581" s="312"/>
      <c r="T581" s="312"/>
    </row>
    <row r="582" spans="6:20" x14ac:dyDescent="0.2">
      <c r="F582" s="312"/>
      <c r="M582" s="312"/>
      <c r="T582" s="312"/>
    </row>
    <row r="583" spans="6:20" x14ac:dyDescent="0.2">
      <c r="F583" s="312"/>
      <c r="M583" s="312"/>
      <c r="T583" s="312"/>
    </row>
    <row r="584" spans="6:20" x14ac:dyDescent="0.2">
      <c r="F584" s="312"/>
      <c r="M584" s="312"/>
      <c r="T584" s="312"/>
    </row>
    <row r="585" spans="6:20" x14ac:dyDescent="0.2">
      <c r="F585" s="312"/>
      <c r="M585" s="312"/>
      <c r="T585" s="312"/>
    </row>
    <row r="586" spans="6:20" x14ac:dyDescent="0.2">
      <c r="F586" s="312"/>
      <c r="M586" s="312"/>
      <c r="T586" s="312"/>
    </row>
    <row r="587" spans="6:20" x14ac:dyDescent="0.2">
      <c r="F587" s="312"/>
      <c r="M587" s="312"/>
      <c r="T587" s="312"/>
    </row>
    <row r="588" spans="6:20" x14ac:dyDescent="0.2">
      <c r="F588" s="312"/>
      <c r="M588" s="312"/>
      <c r="T588" s="312"/>
    </row>
    <row r="589" spans="6:20" x14ac:dyDescent="0.2">
      <c r="F589" s="312"/>
      <c r="M589" s="312"/>
      <c r="T589" s="312"/>
    </row>
    <row r="590" spans="6:20" x14ac:dyDescent="0.2">
      <c r="F590" s="312"/>
      <c r="M590" s="312"/>
      <c r="T590" s="312"/>
    </row>
    <row r="591" spans="6:20" x14ac:dyDescent="0.2">
      <c r="F591" s="312"/>
      <c r="M591" s="312"/>
      <c r="T591" s="312"/>
    </row>
    <row r="592" spans="6:20" x14ac:dyDescent="0.2">
      <c r="F592" s="312"/>
      <c r="M592" s="312"/>
      <c r="T592" s="312"/>
    </row>
    <row r="593" spans="6:20" x14ac:dyDescent="0.2">
      <c r="F593" s="312"/>
      <c r="M593" s="312"/>
      <c r="T593" s="312"/>
    </row>
    <row r="594" spans="6:20" x14ac:dyDescent="0.2">
      <c r="F594" s="312"/>
      <c r="M594" s="312"/>
      <c r="T594" s="312"/>
    </row>
    <row r="595" spans="6:20" x14ac:dyDescent="0.2">
      <c r="F595" s="312"/>
      <c r="M595" s="312"/>
      <c r="T595" s="312"/>
    </row>
    <row r="596" spans="6:20" x14ac:dyDescent="0.2">
      <c r="F596" s="312"/>
      <c r="M596" s="312"/>
      <c r="T596" s="312"/>
    </row>
    <row r="597" spans="6:20" x14ac:dyDescent="0.2">
      <c r="F597" s="312"/>
      <c r="M597" s="312"/>
      <c r="T597" s="312"/>
    </row>
    <row r="598" spans="6:20" x14ac:dyDescent="0.2">
      <c r="F598" s="312"/>
      <c r="M598" s="312"/>
      <c r="T598" s="312"/>
    </row>
    <row r="599" spans="6:20" x14ac:dyDescent="0.2">
      <c r="F599" s="312"/>
      <c r="M599" s="312"/>
      <c r="T599" s="312"/>
    </row>
    <row r="600" spans="6:20" x14ac:dyDescent="0.2">
      <c r="F600" s="312"/>
      <c r="M600" s="312"/>
      <c r="T600" s="312"/>
    </row>
    <row r="601" spans="6:20" x14ac:dyDescent="0.2">
      <c r="F601" s="312"/>
      <c r="M601" s="312"/>
      <c r="T601" s="312"/>
    </row>
    <row r="602" spans="6:20" x14ac:dyDescent="0.2">
      <c r="F602" s="312"/>
      <c r="M602" s="312"/>
      <c r="T602" s="312"/>
    </row>
    <row r="603" spans="6:20" x14ac:dyDescent="0.2">
      <c r="F603" s="312"/>
      <c r="M603" s="312"/>
      <c r="T603" s="312"/>
    </row>
    <row r="604" spans="6:20" x14ac:dyDescent="0.2">
      <c r="F604" s="312"/>
      <c r="M604" s="312"/>
      <c r="T604" s="312"/>
    </row>
    <row r="605" spans="6:20" x14ac:dyDescent="0.2">
      <c r="F605" s="312"/>
      <c r="M605" s="312"/>
      <c r="T605" s="312"/>
    </row>
    <row r="606" spans="6:20" x14ac:dyDescent="0.2">
      <c r="F606" s="312"/>
      <c r="M606" s="312"/>
      <c r="T606" s="312"/>
    </row>
    <row r="607" spans="6:20" x14ac:dyDescent="0.2">
      <c r="F607" s="312"/>
      <c r="M607" s="312"/>
      <c r="T607" s="312"/>
    </row>
    <row r="608" spans="6:20" x14ac:dyDescent="0.2">
      <c r="F608" s="312"/>
      <c r="M608" s="312"/>
      <c r="T608" s="312"/>
    </row>
    <row r="609" spans="6:20" x14ac:dyDescent="0.2">
      <c r="F609" s="312"/>
      <c r="M609" s="312"/>
      <c r="T609" s="312"/>
    </row>
    <row r="610" spans="6:20" x14ac:dyDescent="0.2">
      <c r="F610" s="312"/>
      <c r="M610" s="312"/>
      <c r="T610" s="312"/>
    </row>
    <row r="611" spans="6:20" x14ac:dyDescent="0.2">
      <c r="F611" s="312"/>
      <c r="M611" s="312"/>
      <c r="T611" s="312"/>
    </row>
    <row r="612" spans="6:20" x14ac:dyDescent="0.2">
      <c r="F612" s="312"/>
      <c r="M612" s="312"/>
      <c r="T612" s="312"/>
    </row>
    <row r="613" spans="6:20" x14ac:dyDescent="0.2">
      <c r="F613" s="312"/>
      <c r="M613" s="312"/>
      <c r="T613" s="312"/>
    </row>
    <row r="614" spans="6:20" x14ac:dyDescent="0.2">
      <c r="F614" s="312"/>
      <c r="M614" s="312"/>
      <c r="T614" s="312"/>
    </row>
    <row r="615" spans="6:20" x14ac:dyDescent="0.2">
      <c r="F615" s="312"/>
      <c r="M615" s="312"/>
      <c r="T615" s="312"/>
    </row>
    <row r="616" spans="6:20" x14ac:dyDescent="0.2">
      <c r="F616" s="312"/>
      <c r="M616" s="312"/>
      <c r="T616" s="312"/>
    </row>
    <row r="617" spans="6:20" x14ac:dyDescent="0.2">
      <c r="F617" s="312"/>
      <c r="M617" s="312"/>
      <c r="T617" s="312"/>
    </row>
    <row r="618" spans="6:20" x14ac:dyDescent="0.2">
      <c r="F618" s="312"/>
      <c r="M618" s="312"/>
      <c r="T618" s="312"/>
    </row>
    <row r="619" spans="6:20" x14ac:dyDescent="0.2">
      <c r="F619" s="312"/>
      <c r="M619" s="312"/>
      <c r="T619" s="312"/>
    </row>
    <row r="620" spans="6:20" x14ac:dyDescent="0.2">
      <c r="F620" s="312"/>
      <c r="M620" s="312"/>
      <c r="T620" s="312"/>
    </row>
    <row r="621" spans="6:20" x14ac:dyDescent="0.2">
      <c r="F621" s="312"/>
      <c r="M621" s="312"/>
      <c r="T621" s="312"/>
    </row>
    <row r="622" spans="6:20" x14ac:dyDescent="0.2">
      <c r="F622" s="312"/>
      <c r="M622" s="312"/>
      <c r="T622" s="312"/>
    </row>
    <row r="623" spans="6:20" x14ac:dyDescent="0.2">
      <c r="F623" s="312"/>
      <c r="M623" s="312"/>
      <c r="T623" s="312"/>
    </row>
    <row r="624" spans="6:20" x14ac:dyDescent="0.2">
      <c r="F624" s="312"/>
      <c r="M624" s="312"/>
      <c r="T624" s="312"/>
    </row>
    <row r="625" spans="6:20" x14ac:dyDescent="0.2">
      <c r="F625" s="312"/>
      <c r="M625" s="312"/>
      <c r="T625" s="312"/>
    </row>
    <row r="626" spans="6:20" x14ac:dyDescent="0.2">
      <c r="F626" s="312"/>
      <c r="M626" s="312"/>
      <c r="T626" s="312"/>
    </row>
    <row r="627" spans="6:20" x14ac:dyDescent="0.2">
      <c r="F627" s="312"/>
      <c r="M627" s="312"/>
      <c r="T627" s="312"/>
    </row>
    <row r="628" spans="6:20" x14ac:dyDescent="0.2">
      <c r="F628" s="312"/>
      <c r="M628" s="312"/>
      <c r="T628" s="312"/>
    </row>
    <row r="629" spans="6:20" x14ac:dyDescent="0.2">
      <c r="F629" s="312"/>
      <c r="M629" s="312"/>
      <c r="T629" s="312"/>
    </row>
    <row r="630" spans="6:20" x14ac:dyDescent="0.2">
      <c r="F630" s="312"/>
      <c r="M630" s="312"/>
      <c r="T630" s="312"/>
    </row>
    <row r="631" spans="6:20" x14ac:dyDescent="0.2">
      <c r="F631" s="312"/>
      <c r="M631" s="312"/>
      <c r="T631" s="312"/>
    </row>
    <row r="632" spans="6:20" x14ac:dyDescent="0.2">
      <c r="F632" s="312"/>
      <c r="M632" s="312"/>
      <c r="T632" s="312"/>
    </row>
    <row r="633" spans="6:20" x14ac:dyDescent="0.2">
      <c r="F633" s="312"/>
      <c r="M633" s="312"/>
      <c r="T633" s="312"/>
    </row>
    <row r="634" spans="6:20" x14ac:dyDescent="0.2">
      <c r="F634" s="312"/>
      <c r="M634" s="312"/>
      <c r="T634" s="312"/>
    </row>
    <row r="635" spans="6:20" x14ac:dyDescent="0.2">
      <c r="F635" s="312"/>
      <c r="M635" s="312"/>
      <c r="T635" s="312"/>
    </row>
    <row r="636" spans="6:20" x14ac:dyDescent="0.2">
      <c r="F636" s="312"/>
      <c r="M636" s="312"/>
      <c r="T636" s="312"/>
    </row>
    <row r="637" spans="6:20" x14ac:dyDescent="0.2">
      <c r="F637" s="312"/>
      <c r="M637" s="312"/>
      <c r="T637" s="312"/>
    </row>
    <row r="638" spans="6:20" x14ac:dyDescent="0.2">
      <c r="F638" s="312"/>
      <c r="M638" s="312"/>
      <c r="T638" s="312"/>
    </row>
    <row r="639" spans="6:20" x14ac:dyDescent="0.2">
      <c r="F639" s="312"/>
      <c r="M639" s="312"/>
      <c r="T639" s="312"/>
    </row>
    <row r="640" spans="6:20" x14ac:dyDescent="0.2">
      <c r="F640" s="312"/>
      <c r="M640" s="312"/>
      <c r="T640" s="312"/>
    </row>
    <row r="641" spans="6:20" x14ac:dyDescent="0.2">
      <c r="F641" s="312"/>
      <c r="M641" s="312"/>
      <c r="T641" s="312"/>
    </row>
    <row r="642" spans="6:20" x14ac:dyDescent="0.2">
      <c r="F642" s="312"/>
      <c r="M642" s="312"/>
      <c r="T642" s="312"/>
    </row>
    <row r="643" spans="6:20" x14ac:dyDescent="0.2">
      <c r="F643" s="312"/>
      <c r="M643" s="312"/>
      <c r="T643" s="312"/>
    </row>
    <row r="644" spans="6:20" x14ac:dyDescent="0.2">
      <c r="F644" s="312"/>
      <c r="M644" s="312"/>
      <c r="T644" s="312"/>
    </row>
    <row r="645" spans="6:20" x14ac:dyDescent="0.2">
      <c r="F645" s="312"/>
      <c r="M645" s="312"/>
      <c r="T645" s="312"/>
    </row>
    <row r="646" spans="6:20" x14ac:dyDescent="0.2">
      <c r="F646" s="312"/>
      <c r="M646" s="312"/>
      <c r="T646" s="312"/>
    </row>
    <row r="647" spans="6:20" x14ac:dyDescent="0.2">
      <c r="F647" s="312"/>
      <c r="M647" s="312"/>
      <c r="T647" s="312"/>
    </row>
    <row r="648" spans="6:20" x14ac:dyDescent="0.2">
      <c r="F648" s="312"/>
      <c r="M648" s="312"/>
      <c r="T648" s="312"/>
    </row>
    <row r="649" spans="6:20" x14ac:dyDescent="0.2">
      <c r="F649" s="312"/>
      <c r="M649" s="312"/>
      <c r="T649" s="312"/>
    </row>
    <row r="650" spans="6:20" x14ac:dyDescent="0.2">
      <c r="F650" s="312"/>
      <c r="M650" s="312"/>
      <c r="T650" s="312"/>
    </row>
    <row r="651" spans="6:20" x14ac:dyDescent="0.2">
      <c r="F651" s="312"/>
      <c r="M651" s="312"/>
      <c r="T651" s="312"/>
    </row>
    <row r="652" spans="6:20" x14ac:dyDescent="0.2">
      <c r="F652" s="312"/>
      <c r="M652" s="312"/>
      <c r="T652" s="312"/>
    </row>
    <row r="653" spans="6:20" x14ac:dyDescent="0.2">
      <c r="F653" s="312"/>
      <c r="M653" s="312"/>
      <c r="T653" s="312"/>
    </row>
    <row r="654" spans="6:20" x14ac:dyDescent="0.2">
      <c r="F654" s="312"/>
      <c r="M654" s="312"/>
      <c r="T654" s="312"/>
    </row>
    <row r="655" spans="6:20" x14ac:dyDescent="0.2">
      <c r="F655" s="312"/>
      <c r="M655" s="312"/>
      <c r="T655" s="312"/>
    </row>
    <row r="656" spans="6:20" x14ac:dyDescent="0.2">
      <c r="F656" s="312"/>
      <c r="M656" s="312"/>
      <c r="T656" s="312"/>
    </row>
    <row r="657" spans="6:20" x14ac:dyDescent="0.2">
      <c r="F657" s="312"/>
      <c r="M657" s="312"/>
      <c r="T657" s="312"/>
    </row>
    <row r="658" spans="6:20" x14ac:dyDescent="0.2">
      <c r="F658" s="312"/>
      <c r="M658" s="312"/>
      <c r="T658" s="312"/>
    </row>
    <row r="659" spans="6:20" x14ac:dyDescent="0.2">
      <c r="F659" s="312"/>
      <c r="M659" s="312"/>
      <c r="T659" s="312"/>
    </row>
    <row r="660" spans="6:20" x14ac:dyDescent="0.2">
      <c r="F660" s="312"/>
      <c r="M660" s="312"/>
      <c r="T660" s="312"/>
    </row>
    <row r="661" spans="6:20" x14ac:dyDescent="0.2">
      <c r="F661" s="312"/>
      <c r="M661" s="312"/>
      <c r="T661" s="312"/>
    </row>
    <row r="662" spans="6:20" x14ac:dyDescent="0.2">
      <c r="F662" s="312"/>
      <c r="M662" s="312"/>
      <c r="T662" s="312"/>
    </row>
    <row r="663" spans="6:20" x14ac:dyDescent="0.2">
      <c r="F663" s="312"/>
      <c r="M663" s="312"/>
      <c r="T663" s="312"/>
    </row>
    <row r="664" spans="6:20" x14ac:dyDescent="0.2">
      <c r="F664" s="312"/>
      <c r="M664" s="312"/>
      <c r="T664" s="312"/>
    </row>
    <row r="665" spans="6:20" x14ac:dyDescent="0.2">
      <c r="F665" s="312"/>
      <c r="M665" s="312"/>
      <c r="T665" s="312"/>
    </row>
    <row r="666" spans="6:20" x14ac:dyDescent="0.2">
      <c r="F666" s="312"/>
      <c r="M666" s="312"/>
      <c r="T666" s="312"/>
    </row>
    <row r="667" spans="6:20" x14ac:dyDescent="0.2">
      <c r="F667" s="312"/>
      <c r="M667" s="312"/>
      <c r="T667" s="312"/>
    </row>
    <row r="668" spans="6:20" x14ac:dyDescent="0.2">
      <c r="F668" s="312"/>
      <c r="M668" s="312"/>
      <c r="T668" s="312"/>
    </row>
    <row r="669" spans="6:20" x14ac:dyDescent="0.2">
      <c r="F669" s="312"/>
      <c r="M669" s="312"/>
      <c r="T669" s="312"/>
    </row>
    <row r="670" spans="6:20" x14ac:dyDescent="0.2">
      <c r="F670" s="312"/>
      <c r="M670" s="312"/>
      <c r="T670" s="312"/>
    </row>
    <row r="671" spans="6:20" x14ac:dyDescent="0.2">
      <c r="F671" s="312"/>
      <c r="M671" s="312"/>
      <c r="T671" s="312"/>
    </row>
    <row r="672" spans="6:20" x14ac:dyDescent="0.2">
      <c r="F672" s="312"/>
      <c r="M672" s="312"/>
      <c r="T672" s="312"/>
    </row>
    <row r="673" spans="6:20" x14ac:dyDescent="0.2">
      <c r="F673" s="312"/>
      <c r="M673" s="312"/>
      <c r="T673" s="312"/>
    </row>
    <row r="674" spans="6:20" x14ac:dyDescent="0.2">
      <c r="F674" s="312"/>
      <c r="M674" s="312"/>
      <c r="T674" s="312"/>
    </row>
    <row r="675" spans="6:20" x14ac:dyDescent="0.2">
      <c r="F675" s="312"/>
      <c r="M675" s="312"/>
      <c r="T675" s="312"/>
    </row>
    <row r="676" spans="6:20" x14ac:dyDescent="0.2">
      <c r="F676" s="312"/>
      <c r="M676" s="312"/>
      <c r="T676" s="312"/>
    </row>
    <row r="677" spans="6:20" x14ac:dyDescent="0.2">
      <c r="F677" s="312"/>
      <c r="M677" s="312"/>
      <c r="T677" s="312"/>
    </row>
    <row r="678" spans="6:20" x14ac:dyDescent="0.2">
      <c r="F678" s="312"/>
      <c r="M678" s="312"/>
      <c r="T678" s="312"/>
    </row>
    <row r="679" spans="6:20" x14ac:dyDescent="0.2">
      <c r="F679" s="312"/>
      <c r="M679" s="312"/>
      <c r="T679" s="312"/>
    </row>
    <row r="680" spans="6:20" x14ac:dyDescent="0.2">
      <c r="F680" s="312"/>
      <c r="M680" s="312"/>
      <c r="T680" s="312"/>
    </row>
    <row r="681" spans="6:20" x14ac:dyDescent="0.2">
      <c r="F681" s="312"/>
      <c r="M681" s="312"/>
      <c r="T681" s="312"/>
    </row>
    <row r="682" spans="6:20" x14ac:dyDescent="0.2">
      <c r="F682" s="312"/>
      <c r="M682" s="312"/>
      <c r="T682" s="312"/>
    </row>
    <row r="683" spans="6:20" x14ac:dyDescent="0.2">
      <c r="F683" s="312"/>
      <c r="M683" s="312"/>
      <c r="T683" s="312"/>
    </row>
    <row r="684" spans="6:20" x14ac:dyDescent="0.2">
      <c r="F684" s="312"/>
      <c r="M684" s="312"/>
      <c r="T684" s="312"/>
    </row>
    <row r="685" spans="6:20" x14ac:dyDescent="0.2">
      <c r="F685" s="312"/>
      <c r="M685" s="312"/>
      <c r="T685" s="312"/>
    </row>
    <row r="686" spans="6:20" x14ac:dyDescent="0.2">
      <c r="F686" s="312"/>
      <c r="M686" s="312"/>
      <c r="T686" s="312"/>
    </row>
    <row r="687" spans="6:20" x14ac:dyDescent="0.2">
      <c r="F687" s="312"/>
      <c r="M687" s="312"/>
      <c r="T687" s="312"/>
    </row>
    <row r="688" spans="6:20" x14ac:dyDescent="0.2">
      <c r="F688" s="312"/>
      <c r="M688" s="312"/>
      <c r="T688" s="312"/>
    </row>
    <row r="689" spans="6:20" x14ac:dyDescent="0.2">
      <c r="F689" s="312"/>
      <c r="M689" s="312"/>
      <c r="T689" s="312"/>
    </row>
    <row r="690" spans="6:20" x14ac:dyDescent="0.2">
      <c r="F690" s="312"/>
      <c r="M690" s="312"/>
      <c r="T690" s="312"/>
    </row>
    <row r="691" spans="6:20" x14ac:dyDescent="0.2">
      <c r="F691" s="312"/>
      <c r="M691" s="312"/>
      <c r="T691" s="312"/>
    </row>
    <row r="692" spans="6:20" x14ac:dyDescent="0.2">
      <c r="F692" s="312"/>
      <c r="M692" s="312"/>
      <c r="T692" s="312"/>
    </row>
    <row r="693" spans="6:20" x14ac:dyDescent="0.2">
      <c r="F693" s="312"/>
      <c r="M693" s="312"/>
      <c r="T693" s="312"/>
    </row>
    <row r="694" spans="6:20" x14ac:dyDescent="0.2">
      <c r="F694" s="312"/>
      <c r="M694" s="312"/>
      <c r="T694" s="312"/>
    </row>
    <row r="695" spans="6:20" x14ac:dyDescent="0.2">
      <c r="F695" s="312"/>
      <c r="M695" s="312"/>
      <c r="T695" s="312"/>
    </row>
    <row r="696" spans="6:20" x14ac:dyDescent="0.2">
      <c r="F696" s="312"/>
      <c r="M696" s="312"/>
      <c r="T696" s="312"/>
    </row>
    <row r="697" spans="6:20" x14ac:dyDescent="0.2">
      <c r="F697" s="312"/>
      <c r="M697" s="312"/>
      <c r="T697" s="312"/>
    </row>
    <row r="698" spans="6:20" x14ac:dyDescent="0.2">
      <c r="F698" s="312"/>
      <c r="M698" s="312"/>
      <c r="T698" s="312"/>
    </row>
    <row r="699" spans="6:20" x14ac:dyDescent="0.2">
      <c r="F699" s="312"/>
      <c r="M699" s="312"/>
      <c r="T699" s="312"/>
    </row>
    <row r="700" spans="6:20" x14ac:dyDescent="0.2">
      <c r="F700" s="312"/>
      <c r="M700" s="312"/>
      <c r="T700" s="312"/>
    </row>
    <row r="701" spans="6:20" x14ac:dyDescent="0.2">
      <c r="F701" s="312"/>
      <c r="M701" s="312"/>
      <c r="T701" s="312"/>
    </row>
    <row r="702" spans="6:20" x14ac:dyDescent="0.2">
      <c r="F702" s="312"/>
      <c r="M702" s="312"/>
      <c r="T702" s="312"/>
    </row>
    <row r="703" spans="6:20" x14ac:dyDescent="0.2">
      <c r="F703" s="312"/>
      <c r="M703" s="312"/>
      <c r="T703" s="312"/>
    </row>
    <row r="704" spans="6:20" x14ac:dyDescent="0.2">
      <c r="F704" s="312"/>
      <c r="M704" s="312"/>
      <c r="T704" s="312"/>
    </row>
    <row r="705" spans="6:20" x14ac:dyDescent="0.2">
      <c r="F705" s="312"/>
      <c r="M705" s="312"/>
      <c r="T705" s="312"/>
    </row>
    <row r="706" spans="6:20" x14ac:dyDescent="0.2">
      <c r="F706" s="312"/>
      <c r="M706" s="312"/>
      <c r="T706" s="312"/>
    </row>
    <row r="707" spans="6:20" x14ac:dyDescent="0.2">
      <c r="F707" s="312"/>
      <c r="M707" s="312"/>
      <c r="T707" s="312"/>
    </row>
    <row r="708" spans="6:20" x14ac:dyDescent="0.2">
      <c r="F708" s="312"/>
      <c r="M708" s="312"/>
      <c r="T708" s="312"/>
    </row>
    <row r="709" spans="6:20" x14ac:dyDescent="0.2">
      <c r="F709" s="312"/>
      <c r="M709" s="312"/>
      <c r="T709" s="312"/>
    </row>
    <row r="710" spans="6:20" x14ac:dyDescent="0.2">
      <c r="F710" s="312"/>
      <c r="M710" s="312"/>
      <c r="T710" s="312"/>
    </row>
    <row r="711" spans="6:20" x14ac:dyDescent="0.2">
      <c r="F711" s="312"/>
      <c r="M711" s="312"/>
      <c r="T711" s="312"/>
    </row>
    <row r="712" spans="6:20" x14ac:dyDescent="0.2">
      <c r="F712" s="312"/>
      <c r="M712" s="312"/>
      <c r="T712" s="312"/>
    </row>
    <row r="713" spans="6:20" x14ac:dyDescent="0.2">
      <c r="F713" s="312"/>
      <c r="M713" s="312"/>
      <c r="T713" s="312"/>
    </row>
    <row r="714" spans="6:20" x14ac:dyDescent="0.2">
      <c r="F714" s="312"/>
      <c r="M714" s="312"/>
      <c r="T714" s="312"/>
    </row>
    <row r="715" spans="6:20" x14ac:dyDescent="0.2">
      <c r="F715" s="312"/>
      <c r="M715" s="312"/>
      <c r="T715" s="312"/>
    </row>
    <row r="716" spans="6:20" x14ac:dyDescent="0.2">
      <c r="F716" s="312"/>
      <c r="M716" s="312"/>
      <c r="T716" s="312"/>
    </row>
    <row r="717" spans="6:20" x14ac:dyDescent="0.2">
      <c r="F717" s="312"/>
      <c r="M717" s="312"/>
      <c r="T717" s="312"/>
    </row>
    <row r="718" spans="6:20" x14ac:dyDescent="0.2">
      <c r="F718" s="312"/>
      <c r="M718" s="312"/>
      <c r="T718" s="312"/>
    </row>
    <row r="719" spans="6:20" x14ac:dyDescent="0.2">
      <c r="F719" s="312"/>
      <c r="M719" s="312"/>
      <c r="T719" s="312"/>
    </row>
    <row r="720" spans="6:20" x14ac:dyDescent="0.2">
      <c r="F720" s="312"/>
      <c r="M720" s="312"/>
      <c r="T720" s="312"/>
    </row>
    <row r="721" spans="6:20" x14ac:dyDescent="0.2">
      <c r="F721" s="312"/>
      <c r="M721" s="312"/>
      <c r="T721" s="312"/>
    </row>
    <row r="722" spans="6:20" x14ac:dyDescent="0.2">
      <c r="F722" s="312"/>
      <c r="M722" s="312"/>
      <c r="T722" s="312"/>
    </row>
    <row r="723" spans="6:20" x14ac:dyDescent="0.2">
      <c r="F723" s="312"/>
      <c r="M723" s="312"/>
      <c r="T723" s="312"/>
    </row>
    <row r="724" spans="6:20" x14ac:dyDescent="0.2">
      <c r="F724" s="312"/>
      <c r="M724" s="312"/>
      <c r="T724" s="312"/>
    </row>
    <row r="725" spans="6:20" x14ac:dyDescent="0.2">
      <c r="F725" s="312"/>
      <c r="M725" s="312"/>
      <c r="T725" s="312"/>
    </row>
    <row r="726" spans="6:20" x14ac:dyDescent="0.2">
      <c r="F726" s="312"/>
      <c r="M726" s="312"/>
      <c r="T726" s="312"/>
    </row>
    <row r="727" spans="6:20" x14ac:dyDescent="0.2">
      <c r="F727" s="312"/>
      <c r="M727" s="312"/>
      <c r="T727" s="312"/>
    </row>
    <row r="728" spans="6:20" x14ac:dyDescent="0.2">
      <c r="F728" s="312"/>
      <c r="M728" s="312"/>
      <c r="T728" s="312"/>
    </row>
    <row r="729" spans="6:20" x14ac:dyDescent="0.2">
      <c r="F729" s="312"/>
      <c r="M729" s="312"/>
      <c r="T729" s="312"/>
    </row>
    <row r="730" spans="6:20" x14ac:dyDescent="0.2">
      <c r="F730" s="312"/>
      <c r="M730" s="312"/>
      <c r="T730" s="312"/>
    </row>
    <row r="731" spans="6:20" x14ac:dyDescent="0.2">
      <c r="F731" s="312"/>
      <c r="M731" s="312"/>
      <c r="T731" s="312"/>
    </row>
    <row r="732" spans="6:20" x14ac:dyDescent="0.2">
      <c r="F732" s="312"/>
      <c r="M732" s="312"/>
      <c r="T732" s="312"/>
    </row>
    <row r="733" spans="6:20" x14ac:dyDescent="0.2">
      <c r="F733" s="312"/>
      <c r="M733" s="312"/>
      <c r="T733" s="312"/>
    </row>
    <row r="734" spans="6:20" x14ac:dyDescent="0.2">
      <c r="F734" s="312"/>
      <c r="M734" s="312"/>
      <c r="T734" s="312"/>
    </row>
    <row r="735" spans="6:20" x14ac:dyDescent="0.2">
      <c r="F735" s="312"/>
      <c r="M735" s="312"/>
      <c r="T735" s="312"/>
    </row>
    <row r="736" spans="6:20" x14ac:dyDescent="0.2">
      <c r="F736" s="312"/>
      <c r="M736" s="312"/>
      <c r="T736" s="312"/>
    </row>
    <row r="737" spans="6:20" x14ac:dyDescent="0.2">
      <c r="F737" s="312"/>
      <c r="M737" s="312"/>
      <c r="T737" s="312"/>
    </row>
    <row r="738" spans="6:20" x14ac:dyDescent="0.2">
      <c r="F738" s="312"/>
      <c r="M738" s="312"/>
      <c r="T738" s="312"/>
    </row>
    <row r="739" spans="6:20" x14ac:dyDescent="0.2">
      <c r="F739" s="312"/>
      <c r="M739" s="312"/>
      <c r="T739" s="312"/>
    </row>
    <row r="740" spans="6:20" x14ac:dyDescent="0.2">
      <c r="F740" s="312"/>
      <c r="M740" s="312"/>
      <c r="T740" s="312"/>
    </row>
    <row r="741" spans="6:20" x14ac:dyDescent="0.2">
      <c r="F741" s="312"/>
      <c r="M741" s="312"/>
      <c r="T741" s="312"/>
    </row>
    <row r="742" spans="6:20" x14ac:dyDescent="0.2">
      <c r="F742" s="312"/>
      <c r="M742" s="312"/>
      <c r="T742" s="312"/>
    </row>
    <row r="743" spans="6:20" x14ac:dyDescent="0.2">
      <c r="F743" s="312"/>
      <c r="M743" s="312"/>
      <c r="T743" s="312"/>
    </row>
    <row r="744" spans="6:20" x14ac:dyDescent="0.2">
      <c r="F744" s="312"/>
      <c r="M744" s="312"/>
      <c r="T744" s="312"/>
    </row>
    <row r="745" spans="6:20" x14ac:dyDescent="0.2">
      <c r="F745" s="312"/>
      <c r="M745" s="312"/>
      <c r="T745" s="312"/>
    </row>
    <row r="746" spans="6:20" x14ac:dyDescent="0.2">
      <c r="F746" s="312"/>
      <c r="M746" s="312"/>
      <c r="T746" s="312"/>
    </row>
    <row r="747" spans="6:20" x14ac:dyDescent="0.2">
      <c r="F747" s="312"/>
      <c r="M747" s="312"/>
      <c r="T747" s="312"/>
    </row>
    <row r="748" spans="6:20" x14ac:dyDescent="0.2">
      <c r="F748" s="312"/>
      <c r="M748" s="312"/>
      <c r="T748" s="312"/>
    </row>
    <row r="749" spans="6:20" x14ac:dyDescent="0.2">
      <c r="F749" s="312"/>
      <c r="M749" s="312"/>
      <c r="T749" s="312"/>
    </row>
    <row r="750" spans="6:20" x14ac:dyDescent="0.2">
      <c r="F750" s="312"/>
      <c r="M750" s="312"/>
      <c r="T750" s="312"/>
    </row>
    <row r="751" spans="6:20" x14ac:dyDescent="0.2">
      <c r="F751" s="312"/>
      <c r="M751" s="312"/>
      <c r="T751" s="312"/>
    </row>
    <row r="752" spans="6:20" x14ac:dyDescent="0.2">
      <c r="F752" s="312"/>
      <c r="M752" s="312"/>
      <c r="T752" s="312"/>
    </row>
    <row r="753" spans="6:20" x14ac:dyDescent="0.2">
      <c r="F753" s="312"/>
      <c r="M753" s="312"/>
      <c r="T753" s="312"/>
    </row>
    <row r="754" spans="6:20" x14ac:dyDescent="0.2">
      <c r="F754" s="312"/>
      <c r="M754" s="312"/>
      <c r="T754" s="312"/>
    </row>
    <row r="755" spans="6:20" x14ac:dyDescent="0.2">
      <c r="F755" s="312"/>
      <c r="M755" s="312"/>
      <c r="T755" s="312"/>
    </row>
    <row r="756" spans="6:20" x14ac:dyDescent="0.2">
      <c r="F756" s="312"/>
      <c r="M756" s="312"/>
      <c r="T756" s="312"/>
    </row>
    <row r="757" spans="6:20" x14ac:dyDescent="0.2">
      <c r="F757" s="312"/>
      <c r="M757" s="312"/>
      <c r="T757" s="312"/>
    </row>
    <row r="758" spans="6:20" x14ac:dyDescent="0.2">
      <c r="F758" s="312"/>
      <c r="M758" s="312"/>
      <c r="T758" s="312"/>
    </row>
    <row r="759" spans="6:20" x14ac:dyDescent="0.2">
      <c r="F759" s="312"/>
      <c r="M759" s="312"/>
      <c r="T759" s="312"/>
    </row>
    <row r="760" spans="6:20" x14ac:dyDescent="0.2">
      <c r="F760" s="312"/>
      <c r="M760" s="312"/>
      <c r="T760" s="312"/>
    </row>
    <row r="761" spans="6:20" x14ac:dyDescent="0.2">
      <c r="F761" s="312"/>
      <c r="M761" s="312"/>
      <c r="T761" s="312"/>
    </row>
    <row r="762" spans="6:20" x14ac:dyDescent="0.2">
      <c r="F762" s="312"/>
      <c r="M762" s="312"/>
      <c r="T762" s="312"/>
    </row>
    <row r="763" spans="6:20" x14ac:dyDescent="0.2">
      <c r="F763" s="312"/>
      <c r="M763" s="312"/>
      <c r="T763" s="312"/>
    </row>
    <row r="764" spans="6:20" x14ac:dyDescent="0.2">
      <c r="F764" s="312"/>
      <c r="M764" s="312"/>
      <c r="T764" s="312"/>
    </row>
    <row r="765" spans="6:20" x14ac:dyDescent="0.2">
      <c r="F765" s="312"/>
      <c r="M765" s="312"/>
      <c r="T765" s="312"/>
    </row>
    <row r="766" spans="6:20" x14ac:dyDescent="0.2">
      <c r="F766" s="312"/>
      <c r="M766" s="312"/>
      <c r="T766" s="312"/>
    </row>
    <row r="767" spans="6:20" x14ac:dyDescent="0.2">
      <c r="F767" s="312"/>
      <c r="M767" s="312"/>
      <c r="T767" s="312"/>
    </row>
    <row r="768" spans="6:20" x14ac:dyDescent="0.2">
      <c r="F768" s="312"/>
      <c r="M768" s="312"/>
      <c r="T768" s="312"/>
    </row>
    <row r="769" spans="6:20" x14ac:dyDescent="0.2">
      <c r="F769" s="312"/>
      <c r="M769" s="312"/>
      <c r="T769" s="312"/>
    </row>
    <row r="770" spans="6:20" x14ac:dyDescent="0.2">
      <c r="F770" s="312"/>
      <c r="M770" s="312"/>
      <c r="T770" s="312"/>
    </row>
    <row r="771" spans="6:20" x14ac:dyDescent="0.2">
      <c r="F771" s="312"/>
      <c r="M771" s="312"/>
      <c r="T771" s="312"/>
    </row>
    <row r="772" spans="6:20" x14ac:dyDescent="0.2">
      <c r="F772" s="312"/>
      <c r="M772" s="312"/>
      <c r="T772" s="312"/>
    </row>
    <row r="773" spans="6:20" x14ac:dyDescent="0.2">
      <c r="F773" s="312"/>
      <c r="M773" s="312"/>
      <c r="T773" s="312"/>
    </row>
    <row r="774" spans="6:20" x14ac:dyDescent="0.2">
      <c r="F774" s="312"/>
      <c r="M774" s="312"/>
      <c r="T774" s="312"/>
    </row>
    <row r="775" spans="6:20" x14ac:dyDescent="0.2">
      <c r="F775" s="312"/>
      <c r="M775" s="312"/>
      <c r="T775" s="312"/>
    </row>
    <row r="776" spans="6:20" x14ac:dyDescent="0.2">
      <c r="F776" s="312"/>
      <c r="M776" s="312"/>
      <c r="T776" s="312"/>
    </row>
    <row r="777" spans="6:20" x14ac:dyDescent="0.2">
      <c r="F777" s="312"/>
      <c r="M777" s="312"/>
      <c r="T777" s="312"/>
    </row>
    <row r="778" spans="6:20" x14ac:dyDescent="0.2">
      <c r="F778" s="312"/>
      <c r="M778" s="312"/>
      <c r="T778" s="312"/>
    </row>
    <row r="779" spans="6:20" x14ac:dyDescent="0.2">
      <c r="F779" s="312"/>
      <c r="M779" s="312"/>
      <c r="T779" s="312"/>
    </row>
    <row r="780" spans="6:20" x14ac:dyDescent="0.2">
      <c r="F780" s="312"/>
      <c r="M780" s="312"/>
      <c r="T780" s="312"/>
    </row>
    <row r="781" spans="6:20" x14ac:dyDescent="0.2">
      <c r="F781" s="312"/>
      <c r="M781" s="312"/>
      <c r="T781" s="312"/>
    </row>
    <row r="782" spans="6:20" x14ac:dyDescent="0.2">
      <c r="F782" s="312"/>
      <c r="M782" s="312"/>
      <c r="T782" s="312"/>
    </row>
    <row r="783" spans="6:20" x14ac:dyDescent="0.2">
      <c r="F783" s="312"/>
      <c r="M783" s="312"/>
      <c r="T783" s="312"/>
    </row>
    <row r="784" spans="6:20" x14ac:dyDescent="0.2">
      <c r="F784" s="312"/>
      <c r="M784" s="312"/>
      <c r="T784" s="312"/>
    </row>
    <row r="785" spans="6:20" x14ac:dyDescent="0.2">
      <c r="F785" s="312"/>
      <c r="M785" s="312"/>
      <c r="T785" s="312"/>
    </row>
    <row r="786" spans="6:20" x14ac:dyDescent="0.2">
      <c r="F786" s="312"/>
      <c r="M786" s="312"/>
      <c r="T786" s="312"/>
    </row>
    <row r="787" spans="6:20" x14ac:dyDescent="0.2">
      <c r="F787" s="312"/>
      <c r="M787" s="312"/>
      <c r="T787" s="312"/>
    </row>
    <row r="788" spans="6:20" x14ac:dyDescent="0.2">
      <c r="F788" s="312"/>
      <c r="M788" s="312"/>
      <c r="T788" s="312"/>
    </row>
    <row r="789" spans="6:20" x14ac:dyDescent="0.2">
      <c r="F789" s="312"/>
      <c r="M789" s="312"/>
      <c r="T789" s="312"/>
    </row>
    <row r="790" spans="6:20" x14ac:dyDescent="0.2">
      <c r="F790" s="312"/>
      <c r="M790" s="312"/>
      <c r="T790" s="312"/>
    </row>
    <row r="791" spans="6:20" x14ac:dyDescent="0.2">
      <c r="F791" s="312"/>
      <c r="M791" s="312"/>
      <c r="T791" s="312"/>
    </row>
    <row r="792" spans="6:20" x14ac:dyDescent="0.2">
      <c r="F792" s="312"/>
      <c r="M792" s="312"/>
      <c r="T792" s="312"/>
    </row>
    <row r="793" spans="6:20" x14ac:dyDescent="0.2">
      <c r="F793" s="312"/>
      <c r="M793" s="312"/>
      <c r="T793" s="312"/>
    </row>
    <row r="794" spans="6:20" x14ac:dyDescent="0.2">
      <c r="F794" s="312"/>
      <c r="M794" s="312"/>
      <c r="T794" s="312"/>
    </row>
    <row r="795" spans="6:20" x14ac:dyDescent="0.2">
      <c r="F795" s="312"/>
      <c r="M795" s="312"/>
      <c r="T795" s="312"/>
    </row>
    <row r="796" spans="6:20" x14ac:dyDescent="0.2">
      <c r="F796" s="312"/>
      <c r="M796" s="312"/>
      <c r="T796" s="312"/>
    </row>
    <row r="797" spans="6:20" x14ac:dyDescent="0.2">
      <c r="F797" s="312"/>
      <c r="M797" s="312"/>
      <c r="T797" s="312"/>
    </row>
    <row r="798" spans="6:20" x14ac:dyDescent="0.2">
      <c r="F798" s="312"/>
      <c r="M798" s="312"/>
      <c r="T798" s="312"/>
    </row>
    <row r="799" spans="6:20" x14ac:dyDescent="0.2">
      <c r="F799" s="312"/>
      <c r="M799" s="312"/>
      <c r="T799" s="312"/>
    </row>
    <row r="800" spans="6:20" x14ac:dyDescent="0.2">
      <c r="F800" s="312"/>
      <c r="M800" s="312"/>
      <c r="T800" s="312"/>
    </row>
    <row r="801" spans="6:20" x14ac:dyDescent="0.2">
      <c r="F801" s="312"/>
      <c r="M801" s="312"/>
      <c r="T801" s="312"/>
    </row>
    <row r="802" spans="6:20" x14ac:dyDescent="0.2">
      <c r="F802" s="312"/>
      <c r="M802" s="312"/>
      <c r="T802" s="312"/>
    </row>
    <row r="803" spans="6:20" x14ac:dyDescent="0.2">
      <c r="F803" s="312"/>
      <c r="M803" s="312"/>
      <c r="T803" s="312"/>
    </row>
    <row r="804" spans="6:20" x14ac:dyDescent="0.2">
      <c r="F804" s="312"/>
      <c r="M804" s="312"/>
      <c r="T804" s="312"/>
    </row>
    <row r="805" spans="6:20" x14ac:dyDescent="0.2">
      <c r="F805" s="312"/>
      <c r="M805" s="312"/>
      <c r="T805" s="312"/>
    </row>
    <row r="806" spans="6:20" x14ac:dyDescent="0.2">
      <c r="F806" s="312"/>
      <c r="M806" s="312"/>
      <c r="T806" s="312"/>
    </row>
    <row r="807" spans="6:20" x14ac:dyDescent="0.2">
      <c r="F807" s="312"/>
      <c r="M807" s="312"/>
      <c r="T807" s="312"/>
    </row>
    <row r="808" spans="6:20" x14ac:dyDescent="0.2">
      <c r="F808" s="312"/>
      <c r="M808" s="312"/>
      <c r="T808" s="312"/>
    </row>
    <row r="809" spans="6:20" x14ac:dyDescent="0.2">
      <c r="F809" s="312"/>
      <c r="M809" s="312"/>
      <c r="T809" s="312"/>
    </row>
    <row r="810" spans="6:20" x14ac:dyDescent="0.2">
      <c r="F810" s="312"/>
      <c r="M810" s="312"/>
      <c r="T810" s="312"/>
    </row>
    <row r="811" spans="6:20" x14ac:dyDescent="0.2">
      <c r="F811" s="312"/>
      <c r="M811" s="312"/>
      <c r="T811" s="312"/>
    </row>
    <row r="812" spans="6:20" x14ac:dyDescent="0.2">
      <c r="F812" s="312"/>
      <c r="M812" s="312"/>
      <c r="T812" s="312"/>
    </row>
    <row r="813" spans="6:20" x14ac:dyDescent="0.2">
      <c r="F813" s="312"/>
      <c r="M813" s="312"/>
      <c r="T813" s="312"/>
    </row>
    <row r="814" spans="6:20" x14ac:dyDescent="0.2">
      <c r="F814" s="312"/>
      <c r="M814" s="312"/>
      <c r="T814" s="312"/>
    </row>
    <row r="815" spans="6:20" x14ac:dyDescent="0.2">
      <c r="F815" s="312"/>
      <c r="M815" s="312"/>
      <c r="T815" s="312"/>
    </row>
    <row r="816" spans="6:20" x14ac:dyDescent="0.2">
      <c r="F816" s="312"/>
      <c r="M816" s="312"/>
      <c r="T816" s="312"/>
    </row>
    <row r="817" spans="6:20" x14ac:dyDescent="0.2">
      <c r="F817" s="312"/>
      <c r="M817" s="312"/>
      <c r="T817" s="312"/>
    </row>
    <row r="818" spans="6:20" x14ac:dyDescent="0.2">
      <c r="F818" s="312"/>
      <c r="M818" s="312"/>
      <c r="T818" s="312"/>
    </row>
    <row r="819" spans="6:20" x14ac:dyDescent="0.2">
      <c r="F819" s="312"/>
      <c r="M819" s="312"/>
      <c r="T819" s="312"/>
    </row>
    <row r="820" spans="6:20" x14ac:dyDescent="0.2">
      <c r="F820" s="312"/>
      <c r="M820" s="312"/>
      <c r="T820" s="312"/>
    </row>
    <row r="821" spans="6:20" x14ac:dyDescent="0.2">
      <c r="F821" s="312"/>
      <c r="M821" s="312"/>
      <c r="T821" s="312"/>
    </row>
    <row r="822" spans="6:20" x14ac:dyDescent="0.2">
      <c r="F822" s="312"/>
      <c r="M822" s="312"/>
      <c r="T822" s="312"/>
    </row>
    <row r="823" spans="6:20" x14ac:dyDescent="0.2">
      <c r="F823" s="312"/>
      <c r="M823" s="312"/>
      <c r="T823" s="312"/>
    </row>
    <row r="824" spans="6:20" x14ac:dyDescent="0.2">
      <c r="F824" s="312"/>
      <c r="M824" s="312"/>
      <c r="T824" s="312"/>
    </row>
    <row r="825" spans="6:20" x14ac:dyDescent="0.2">
      <c r="F825" s="312"/>
      <c r="M825" s="312"/>
      <c r="T825" s="312"/>
    </row>
    <row r="826" spans="6:20" x14ac:dyDescent="0.2">
      <c r="F826" s="312"/>
      <c r="M826" s="312"/>
      <c r="T826" s="312"/>
    </row>
    <row r="827" spans="6:20" x14ac:dyDescent="0.2">
      <c r="F827" s="312"/>
      <c r="M827" s="312"/>
      <c r="T827" s="312"/>
    </row>
    <row r="828" spans="6:20" x14ac:dyDescent="0.2">
      <c r="F828" s="312"/>
      <c r="M828" s="312"/>
      <c r="T828" s="312"/>
    </row>
    <row r="829" spans="6:20" x14ac:dyDescent="0.2">
      <c r="F829" s="312"/>
      <c r="M829" s="312"/>
      <c r="T829" s="312"/>
    </row>
    <row r="830" spans="6:20" x14ac:dyDescent="0.2">
      <c r="F830" s="312"/>
      <c r="M830" s="312"/>
      <c r="T830" s="312"/>
    </row>
    <row r="831" spans="6:20" x14ac:dyDescent="0.2">
      <c r="F831" s="312"/>
      <c r="M831" s="312"/>
      <c r="T831" s="312"/>
    </row>
    <row r="832" spans="6:20" x14ac:dyDescent="0.2">
      <c r="F832" s="312"/>
      <c r="M832" s="312"/>
      <c r="T832" s="312"/>
    </row>
    <row r="833" spans="6:20" x14ac:dyDescent="0.2">
      <c r="F833" s="312"/>
      <c r="M833" s="312"/>
      <c r="T833" s="312"/>
    </row>
    <row r="834" spans="6:20" x14ac:dyDescent="0.2">
      <c r="F834" s="312"/>
      <c r="M834" s="312"/>
      <c r="T834" s="312"/>
    </row>
    <row r="835" spans="6:20" x14ac:dyDescent="0.2">
      <c r="F835" s="312"/>
      <c r="M835" s="312"/>
      <c r="T835" s="312"/>
    </row>
    <row r="836" spans="6:20" x14ac:dyDescent="0.2">
      <c r="F836" s="312"/>
      <c r="M836" s="312"/>
      <c r="T836" s="312"/>
    </row>
    <row r="837" spans="6:20" x14ac:dyDescent="0.2">
      <c r="F837" s="312"/>
      <c r="M837" s="312"/>
      <c r="T837" s="312"/>
    </row>
    <row r="838" spans="6:20" x14ac:dyDescent="0.2">
      <c r="F838" s="312"/>
      <c r="M838" s="312"/>
      <c r="T838" s="312"/>
    </row>
    <row r="839" spans="6:20" x14ac:dyDescent="0.2">
      <c r="F839" s="312"/>
      <c r="M839" s="312"/>
      <c r="T839" s="312"/>
    </row>
    <row r="840" spans="6:20" x14ac:dyDescent="0.2">
      <c r="F840" s="312"/>
      <c r="M840" s="312"/>
      <c r="T840" s="312"/>
    </row>
    <row r="841" spans="6:20" x14ac:dyDescent="0.2">
      <c r="F841" s="312"/>
      <c r="M841" s="312"/>
      <c r="T841" s="312"/>
    </row>
    <row r="842" spans="6:20" x14ac:dyDescent="0.2">
      <c r="F842" s="312"/>
      <c r="M842" s="312"/>
      <c r="T842" s="312"/>
    </row>
    <row r="843" spans="6:20" x14ac:dyDescent="0.2">
      <c r="F843" s="312"/>
      <c r="M843" s="312"/>
      <c r="T843" s="312"/>
    </row>
    <row r="844" spans="6:20" x14ac:dyDescent="0.2">
      <c r="F844" s="312"/>
      <c r="M844" s="312"/>
      <c r="T844" s="312"/>
    </row>
    <row r="845" spans="6:20" x14ac:dyDescent="0.2">
      <c r="F845" s="312"/>
      <c r="M845" s="312"/>
      <c r="T845" s="312"/>
    </row>
    <row r="846" spans="6:20" x14ac:dyDescent="0.2">
      <c r="F846" s="312"/>
      <c r="M846" s="312"/>
      <c r="T846" s="312"/>
    </row>
    <row r="847" spans="6:20" x14ac:dyDescent="0.2">
      <c r="F847" s="312"/>
      <c r="M847" s="312"/>
      <c r="T847" s="312"/>
    </row>
    <row r="848" spans="6:20" x14ac:dyDescent="0.2">
      <c r="F848" s="312"/>
      <c r="M848" s="312"/>
      <c r="T848" s="312"/>
    </row>
    <row r="849" spans="4:20" x14ac:dyDescent="0.2">
      <c r="F849" s="312"/>
      <c r="M849" s="312"/>
      <c r="T849" s="312"/>
    </row>
    <row r="850" spans="4:20" x14ac:dyDescent="0.2">
      <c r="F850" s="312"/>
      <c r="M850" s="312"/>
      <c r="T850" s="312"/>
    </row>
    <row r="851" spans="4:20" x14ac:dyDescent="0.2">
      <c r="F851" s="312"/>
      <c r="M851" s="312"/>
      <c r="T851" s="312"/>
    </row>
    <row r="852" spans="4:20" x14ac:dyDescent="0.2">
      <c r="F852" s="312"/>
      <c r="M852" s="312"/>
      <c r="T852" s="312"/>
    </row>
    <row r="853" spans="4:20" x14ac:dyDescent="0.2">
      <c r="F853" s="312"/>
      <c r="M853" s="312"/>
      <c r="T853" s="312"/>
    </row>
    <row r="854" spans="4:20" x14ac:dyDescent="0.2">
      <c r="F854" s="312"/>
      <c r="M854" s="312"/>
      <c r="T854" s="312"/>
    </row>
    <row r="855" spans="4:20" x14ac:dyDescent="0.2">
      <c r="F855" s="312"/>
      <c r="M855" s="312"/>
      <c r="T855" s="312"/>
    </row>
    <row r="856" spans="4:20" x14ac:dyDescent="0.2">
      <c r="F856" s="312"/>
      <c r="M856" s="312"/>
      <c r="T856" s="312"/>
    </row>
    <row r="857" spans="4:20" x14ac:dyDescent="0.2">
      <c r="F857" s="312"/>
      <c r="M857" s="312"/>
      <c r="T857" s="312"/>
    </row>
    <row r="858" spans="4:20" x14ac:dyDescent="0.2">
      <c r="F858" s="312"/>
      <c r="M858" s="312"/>
      <c r="T858" s="312"/>
    </row>
    <row r="859" spans="4:20" x14ac:dyDescent="0.2">
      <c r="F859" s="312"/>
      <c r="M859" s="312"/>
      <c r="T859" s="312"/>
    </row>
    <row r="860" spans="4:20" x14ac:dyDescent="0.2">
      <c r="F860" s="312"/>
      <c r="M860" s="312"/>
      <c r="T860" s="312"/>
    </row>
    <row r="861" spans="4:20" x14ac:dyDescent="0.2">
      <c r="F861" s="312"/>
      <c r="M861" s="312"/>
      <c r="T861" s="312"/>
    </row>
    <row r="862" spans="4:20" x14ac:dyDescent="0.2">
      <c r="F862" s="312"/>
      <c r="M862" s="312"/>
      <c r="T862" s="312"/>
    </row>
    <row r="863" spans="4:20" x14ac:dyDescent="0.2">
      <c r="D863" s="313"/>
      <c r="F863" s="312"/>
      <c r="M863" s="312"/>
      <c r="T863" s="312"/>
    </row>
    <row r="864" spans="4:20" x14ac:dyDescent="0.2">
      <c r="F864" s="312"/>
      <c r="M864" s="312"/>
      <c r="T864" s="312"/>
    </row>
    <row r="865" spans="6:20" x14ac:dyDescent="0.2">
      <c r="F865" s="312"/>
      <c r="M865" s="312"/>
      <c r="T865" s="312"/>
    </row>
    <row r="866" spans="6:20" x14ac:dyDescent="0.2">
      <c r="F866" s="312"/>
      <c r="M866" s="312"/>
      <c r="T866" s="312"/>
    </row>
    <row r="867" spans="6:20" x14ac:dyDescent="0.2">
      <c r="F867" s="312"/>
      <c r="M867" s="312"/>
      <c r="T867" s="312"/>
    </row>
    <row r="868" spans="6:20" x14ac:dyDescent="0.2">
      <c r="F868" s="312"/>
      <c r="M868" s="312"/>
      <c r="T868" s="312"/>
    </row>
    <row r="869" spans="6:20" x14ac:dyDescent="0.2">
      <c r="F869" s="312"/>
      <c r="M869" s="312"/>
      <c r="T869" s="312"/>
    </row>
    <row r="870" spans="6:20" x14ac:dyDescent="0.2">
      <c r="F870" s="312"/>
      <c r="M870" s="312"/>
      <c r="T870" s="312"/>
    </row>
    <row r="871" spans="6:20" x14ac:dyDescent="0.2">
      <c r="F871" s="312"/>
      <c r="M871" s="312"/>
      <c r="T871" s="312"/>
    </row>
    <row r="872" spans="6:20" x14ac:dyDescent="0.2">
      <c r="F872" s="312"/>
      <c r="M872" s="312"/>
      <c r="T872" s="312"/>
    </row>
    <row r="873" spans="6:20" x14ac:dyDescent="0.2">
      <c r="F873" s="312"/>
      <c r="M873" s="312"/>
      <c r="T873" s="312"/>
    </row>
    <row r="874" spans="6:20" x14ac:dyDescent="0.2">
      <c r="F874" s="312"/>
      <c r="M874" s="312"/>
      <c r="T874" s="312"/>
    </row>
    <row r="875" spans="6:20" x14ac:dyDescent="0.2">
      <c r="F875" s="312"/>
      <c r="M875" s="312"/>
      <c r="T875" s="312"/>
    </row>
    <row r="876" spans="6:20" x14ac:dyDescent="0.2">
      <c r="F876" s="312"/>
      <c r="M876" s="312"/>
    </row>
    <row r="877" spans="6:20" x14ac:dyDescent="0.2">
      <c r="F877" s="312"/>
      <c r="M877" s="312"/>
      <c r="T877" s="312"/>
    </row>
    <row r="878" spans="6:20" x14ac:dyDescent="0.2">
      <c r="F878" s="312"/>
      <c r="M878" s="312"/>
      <c r="T878" s="312"/>
    </row>
    <row r="879" spans="6:20" x14ac:dyDescent="0.2">
      <c r="F879" s="312"/>
      <c r="M879" s="312"/>
      <c r="T879" s="312"/>
    </row>
    <row r="880" spans="6:20" x14ac:dyDescent="0.2">
      <c r="F880" s="312"/>
      <c r="M880" s="312"/>
      <c r="T880" s="312"/>
    </row>
    <row r="881" spans="6:20" x14ac:dyDescent="0.2">
      <c r="F881" s="312"/>
      <c r="M881" s="312"/>
      <c r="T881" s="312"/>
    </row>
    <row r="882" spans="6:20" x14ac:dyDescent="0.2">
      <c r="F882" s="312"/>
      <c r="M882" s="312"/>
      <c r="T882" s="312"/>
    </row>
    <row r="883" spans="6:20" x14ac:dyDescent="0.2">
      <c r="F883" s="312"/>
      <c r="M883" s="312"/>
      <c r="T883" s="312"/>
    </row>
    <row r="884" spans="6:20" x14ac:dyDescent="0.2">
      <c r="F884" s="312"/>
      <c r="M884" s="312"/>
      <c r="T884" s="312"/>
    </row>
    <row r="885" spans="6:20" x14ac:dyDescent="0.2">
      <c r="F885" s="312"/>
      <c r="M885" s="312"/>
      <c r="T885" s="312"/>
    </row>
    <row r="886" spans="6:20" x14ac:dyDescent="0.2">
      <c r="F886" s="312"/>
      <c r="M886" s="312"/>
      <c r="T886" s="312"/>
    </row>
    <row r="887" spans="6:20" x14ac:dyDescent="0.2">
      <c r="F887" s="312"/>
      <c r="M887" s="312"/>
      <c r="T887" s="312"/>
    </row>
    <row r="888" spans="6:20" x14ac:dyDescent="0.2">
      <c r="F888" s="312"/>
      <c r="M888" s="312"/>
      <c r="T888" s="312"/>
    </row>
    <row r="889" spans="6:20" x14ac:dyDescent="0.2">
      <c r="F889" s="312"/>
      <c r="M889" s="312"/>
      <c r="T889" s="312"/>
    </row>
    <row r="890" spans="6:20" x14ac:dyDescent="0.2">
      <c r="F890" s="312"/>
      <c r="M890" s="312"/>
      <c r="T890" s="312"/>
    </row>
    <row r="891" spans="6:20" x14ac:dyDescent="0.2">
      <c r="F891" s="312"/>
      <c r="M891" s="312"/>
      <c r="T891" s="312"/>
    </row>
    <row r="892" spans="6:20" x14ac:dyDescent="0.2">
      <c r="F892" s="312"/>
      <c r="M892" s="312"/>
      <c r="T892" s="312"/>
    </row>
    <row r="893" spans="6:20" x14ac:dyDescent="0.2">
      <c r="F893" s="312"/>
      <c r="M893" s="312"/>
      <c r="T893" s="312"/>
    </row>
    <row r="894" spans="6:20" x14ac:dyDescent="0.2">
      <c r="F894" s="312"/>
      <c r="M894" s="312"/>
      <c r="T894" s="312"/>
    </row>
    <row r="895" spans="6:20" x14ac:dyDescent="0.2">
      <c r="F895" s="312"/>
      <c r="M895" s="312"/>
      <c r="T895" s="312"/>
    </row>
    <row r="896" spans="6:20" x14ac:dyDescent="0.2">
      <c r="F896" s="312"/>
      <c r="M896" s="312"/>
      <c r="T896" s="312"/>
    </row>
    <row r="897" spans="6:20" x14ac:dyDescent="0.2">
      <c r="F897" s="312"/>
      <c r="M897" s="312"/>
      <c r="T897" s="312"/>
    </row>
    <row r="898" spans="6:20" x14ac:dyDescent="0.2">
      <c r="F898" s="312"/>
      <c r="M898" s="312"/>
      <c r="T898" s="312"/>
    </row>
    <row r="899" spans="6:20" x14ac:dyDescent="0.2">
      <c r="F899" s="312"/>
      <c r="M899" s="312"/>
      <c r="T899" s="312"/>
    </row>
    <row r="900" spans="6:20" x14ac:dyDescent="0.2">
      <c r="F900" s="312"/>
      <c r="M900" s="312"/>
      <c r="T900" s="312"/>
    </row>
    <row r="901" spans="6:20" x14ac:dyDescent="0.2">
      <c r="F901" s="312"/>
      <c r="M901" s="312"/>
      <c r="T901" s="312"/>
    </row>
    <row r="902" spans="6:20" x14ac:dyDescent="0.2">
      <c r="F902" s="312"/>
      <c r="M902" s="312"/>
      <c r="T902" s="312"/>
    </row>
    <row r="903" spans="6:20" x14ac:dyDescent="0.2">
      <c r="F903" s="312"/>
      <c r="M903" s="312"/>
      <c r="T903" s="312"/>
    </row>
    <row r="904" spans="6:20" x14ac:dyDescent="0.2">
      <c r="F904" s="312"/>
      <c r="M904" s="312"/>
      <c r="T904" s="312"/>
    </row>
    <row r="905" spans="6:20" x14ac:dyDescent="0.2">
      <c r="F905" s="312"/>
      <c r="M905" s="312"/>
      <c r="T905" s="312"/>
    </row>
    <row r="906" spans="6:20" x14ac:dyDescent="0.2">
      <c r="F906" s="312"/>
      <c r="M906" s="312"/>
      <c r="T906" s="312"/>
    </row>
    <row r="907" spans="6:20" x14ac:dyDescent="0.2">
      <c r="F907" s="312"/>
      <c r="M907" s="312"/>
      <c r="T907" s="312"/>
    </row>
    <row r="908" spans="6:20" x14ac:dyDescent="0.2">
      <c r="F908" s="312"/>
      <c r="M908" s="312"/>
      <c r="T908" s="312"/>
    </row>
    <row r="909" spans="6:20" x14ac:dyDescent="0.2">
      <c r="F909" s="312"/>
      <c r="M909" s="312"/>
      <c r="T909" s="312"/>
    </row>
    <row r="910" spans="6:20" x14ac:dyDescent="0.2">
      <c r="F910" s="312"/>
      <c r="M910" s="312"/>
      <c r="T910" s="312"/>
    </row>
    <row r="911" spans="6:20" x14ac:dyDescent="0.2">
      <c r="F911" s="312"/>
      <c r="M911" s="312"/>
      <c r="T911" s="312"/>
    </row>
    <row r="912" spans="6:20" x14ac:dyDescent="0.2">
      <c r="F912" s="312"/>
      <c r="M912" s="312"/>
      <c r="T912" s="312"/>
    </row>
    <row r="913" spans="6:20" x14ac:dyDescent="0.2">
      <c r="F913" s="312"/>
      <c r="M913" s="312"/>
      <c r="T913" s="312"/>
    </row>
    <row r="914" spans="6:20" x14ac:dyDescent="0.2">
      <c r="F914" s="312"/>
      <c r="M914" s="312"/>
      <c r="T914" s="312"/>
    </row>
    <row r="915" spans="6:20" x14ac:dyDescent="0.2">
      <c r="F915" s="312"/>
      <c r="M915" s="312"/>
      <c r="T915" s="312"/>
    </row>
    <row r="916" spans="6:20" x14ac:dyDescent="0.2">
      <c r="F916" s="312"/>
      <c r="M916" s="312"/>
      <c r="T916" s="312"/>
    </row>
    <row r="917" spans="6:20" x14ac:dyDescent="0.2">
      <c r="F917" s="312"/>
      <c r="M917" s="312"/>
      <c r="T917" s="312"/>
    </row>
    <row r="918" spans="6:20" x14ac:dyDescent="0.2">
      <c r="F918" s="312"/>
      <c r="M918" s="312"/>
      <c r="T918" s="312"/>
    </row>
    <row r="919" spans="6:20" x14ac:dyDescent="0.2">
      <c r="F919" s="312"/>
      <c r="M919" s="312"/>
      <c r="T919" s="312"/>
    </row>
    <row r="920" spans="6:20" x14ac:dyDescent="0.2">
      <c r="F920" s="312"/>
      <c r="M920" s="312"/>
      <c r="T920" s="312"/>
    </row>
    <row r="921" spans="6:20" x14ac:dyDescent="0.2">
      <c r="F921" s="312"/>
      <c r="M921" s="312"/>
      <c r="T921" s="312"/>
    </row>
    <row r="922" spans="6:20" x14ac:dyDescent="0.2">
      <c r="F922" s="312"/>
      <c r="M922" s="312"/>
      <c r="T922" s="312"/>
    </row>
    <row r="923" spans="6:20" x14ac:dyDescent="0.2">
      <c r="F923" s="312"/>
      <c r="M923" s="312"/>
      <c r="T923" s="312"/>
    </row>
    <row r="924" spans="6:20" x14ac:dyDescent="0.2">
      <c r="F924" s="312"/>
      <c r="M924" s="312"/>
      <c r="T924" s="312"/>
    </row>
    <row r="925" spans="6:20" x14ac:dyDescent="0.2">
      <c r="F925" s="312"/>
      <c r="M925" s="312"/>
      <c r="T925" s="312"/>
    </row>
    <row r="926" spans="6:20" x14ac:dyDescent="0.2">
      <c r="F926" s="312"/>
      <c r="M926" s="312"/>
      <c r="T926" s="312"/>
    </row>
    <row r="927" spans="6:20" x14ac:dyDescent="0.2">
      <c r="F927" s="312"/>
      <c r="M927" s="312"/>
      <c r="T927" s="312"/>
    </row>
    <row r="928" spans="6:20" x14ac:dyDescent="0.2">
      <c r="F928" s="312"/>
      <c r="M928" s="312"/>
      <c r="T928" s="312"/>
    </row>
    <row r="929" spans="6:20" x14ac:dyDescent="0.2">
      <c r="F929" s="312"/>
      <c r="M929" s="312"/>
      <c r="T929" s="312"/>
    </row>
    <row r="930" spans="6:20" x14ac:dyDescent="0.2">
      <c r="F930" s="312"/>
      <c r="M930" s="312"/>
      <c r="T930" s="312"/>
    </row>
    <row r="931" spans="6:20" x14ac:dyDescent="0.2">
      <c r="F931" s="312"/>
      <c r="M931" s="312"/>
      <c r="T931" s="312"/>
    </row>
    <row r="932" spans="6:20" x14ac:dyDescent="0.2">
      <c r="F932" s="312"/>
      <c r="M932" s="312"/>
      <c r="T932" s="312"/>
    </row>
    <row r="933" spans="6:20" x14ac:dyDescent="0.2">
      <c r="F933" s="312"/>
      <c r="M933" s="312"/>
      <c r="T933" s="312"/>
    </row>
    <row r="934" spans="6:20" x14ac:dyDescent="0.2">
      <c r="F934" s="312"/>
      <c r="M934" s="312"/>
      <c r="T934" s="312"/>
    </row>
    <row r="935" spans="6:20" x14ac:dyDescent="0.2">
      <c r="F935" s="312"/>
      <c r="M935" s="312"/>
      <c r="T935" s="312"/>
    </row>
    <row r="936" spans="6:20" x14ac:dyDescent="0.2">
      <c r="F936" s="312"/>
      <c r="M936" s="312"/>
      <c r="T936" s="312"/>
    </row>
    <row r="937" spans="6:20" x14ac:dyDescent="0.2">
      <c r="F937" s="312"/>
      <c r="M937" s="312"/>
      <c r="T937" s="312"/>
    </row>
    <row r="938" spans="6:20" x14ac:dyDescent="0.2">
      <c r="F938" s="312"/>
      <c r="M938" s="312"/>
      <c r="T938" s="312"/>
    </row>
    <row r="939" spans="6:20" x14ac:dyDescent="0.2">
      <c r="F939" s="312"/>
      <c r="M939" s="312"/>
      <c r="T939" s="312"/>
    </row>
    <row r="940" spans="6:20" x14ac:dyDescent="0.2">
      <c r="F940" s="312"/>
      <c r="M940" s="312"/>
      <c r="T940" s="312"/>
    </row>
    <row r="941" spans="6:20" x14ac:dyDescent="0.2">
      <c r="F941" s="312"/>
      <c r="M941" s="312"/>
      <c r="T941" s="312"/>
    </row>
    <row r="942" spans="6:20" x14ac:dyDescent="0.2">
      <c r="F942" s="312"/>
      <c r="M942" s="312"/>
      <c r="T942" s="312"/>
    </row>
    <row r="943" spans="6:20" x14ac:dyDescent="0.2">
      <c r="F943" s="312"/>
      <c r="M943" s="312"/>
      <c r="T943" s="312"/>
    </row>
    <row r="944" spans="6:20" x14ac:dyDescent="0.2">
      <c r="F944" s="312"/>
      <c r="M944" s="312"/>
      <c r="T944" s="312"/>
    </row>
    <row r="945" spans="6:20" x14ac:dyDescent="0.2">
      <c r="F945" s="312"/>
      <c r="M945" s="312"/>
      <c r="T945" s="312"/>
    </row>
    <row r="946" spans="6:20" x14ac:dyDescent="0.2">
      <c r="F946" s="312"/>
      <c r="M946" s="312"/>
      <c r="T946" s="312"/>
    </row>
    <row r="947" spans="6:20" x14ac:dyDescent="0.2">
      <c r="F947" s="312"/>
      <c r="M947" s="312"/>
      <c r="T947" s="312"/>
    </row>
    <row r="948" spans="6:20" x14ac:dyDescent="0.2">
      <c r="F948" s="312"/>
      <c r="M948" s="312"/>
      <c r="T948" s="312"/>
    </row>
    <row r="949" spans="6:20" x14ac:dyDescent="0.2">
      <c r="F949" s="312"/>
      <c r="M949" s="312"/>
      <c r="T949" s="312"/>
    </row>
    <row r="950" spans="6:20" x14ac:dyDescent="0.2">
      <c r="F950" s="312"/>
      <c r="M950" s="312"/>
      <c r="T950" s="312"/>
    </row>
    <row r="951" spans="6:20" x14ac:dyDescent="0.2">
      <c r="F951" s="312"/>
      <c r="M951" s="312"/>
      <c r="T951" s="312"/>
    </row>
    <row r="952" spans="6:20" x14ac:dyDescent="0.2">
      <c r="F952" s="312"/>
      <c r="M952" s="312"/>
      <c r="T952" s="312"/>
    </row>
    <row r="953" spans="6:20" x14ac:dyDescent="0.2">
      <c r="F953" s="312"/>
      <c r="M953" s="312"/>
      <c r="T953" s="312"/>
    </row>
    <row r="954" spans="6:20" x14ac:dyDescent="0.2">
      <c r="F954" s="312"/>
      <c r="M954" s="312"/>
      <c r="T954" s="312"/>
    </row>
    <row r="955" spans="6:20" x14ac:dyDescent="0.2">
      <c r="F955" s="312"/>
      <c r="M955" s="312"/>
      <c r="T955" s="312"/>
    </row>
    <row r="956" spans="6:20" x14ac:dyDescent="0.2">
      <c r="F956" s="312"/>
      <c r="M956" s="312"/>
      <c r="T956" s="312"/>
    </row>
    <row r="957" spans="6:20" x14ac:dyDescent="0.2">
      <c r="F957" s="312"/>
      <c r="M957" s="312"/>
      <c r="T957" s="312"/>
    </row>
    <row r="958" spans="6:20" x14ac:dyDescent="0.2">
      <c r="F958" s="312"/>
      <c r="M958" s="312"/>
      <c r="T958" s="312"/>
    </row>
    <row r="959" spans="6:20" x14ac:dyDescent="0.2">
      <c r="F959" s="312"/>
      <c r="M959" s="312"/>
      <c r="T959" s="312"/>
    </row>
    <row r="960" spans="6:20" x14ac:dyDescent="0.2">
      <c r="F960" s="312"/>
      <c r="M960" s="312"/>
    </row>
    <row r="961" spans="6:20" x14ac:dyDescent="0.2">
      <c r="F961" s="312"/>
      <c r="M961" s="312"/>
    </row>
    <row r="962" spans="6:20" x14ac:dyDescent="0.2">
      <c r="F962" s="312"/>
      <c r="M962" s="312"/>
    </row>
    <row r="963" spans="6:20" x14ac:dyDescent="0.2">
      <c r="F963" s="312"/>
      <c r="M963" s="312"/>
    </row>
    <row r="964" spans="6:20" x14ac:dyDescent="0.2">
      <c r="F964" s="312"/>
      <c r="M964" s="312"/>
    </row>
    <row r="965" spans="6:20" x14ac:dyDescent="0.2">
      <c r="F965" s="312"/>
      <c r="M965" s="312"/>
    </row>
    <row r="966" spans="6:20" x14ac:dyDescent="0.2">
      <c r="F966" s="312"/>
      <c r="M966" s="312"/>
    </row>
    <row r="967" spans="6:20" x14ac:dyDescent="0.2">
      <c r="F967" s="312"/>
      <c r="M967" s="312"/>
    </row>
    <row r="968" spans="6:20" x14ac:dyDescent="0.2">
      <c r="F968" s="312"/>
      <c r="M968" s="312"/>
      <c r="T968" s="312"/>
    </row>
    <row r="969" spans="6:20" x14ac:dyDescent="0.2">
      <c r="F969" s="312"/>
      <c r="M969" s="312"/>
      <c r="T969" s="312"/>
    </row>
    <row r="970" spans="6:20" x14ac:dyDescent="0.2">
      <c r="F970" s="312"/>
      <c r="M970" s="312"/>
      <c r="T970" s="312"/>
    </row>
    <row r="971" spans="6:20" x14ac:dyDescent="0.2">
      <c r="F971" s="312"/>
      <c r="M971" s="312"/>
      <c r="T971" s="312"/>
    </row>
    <row r="972" spans="6:20" x14ac:dyDescent="0.2">
      <c r="F972" s="312"/>
      <c r="M972" s="312"/>
      <c r="T972" s="312"/>
    </row>
    <row r="973" spans="6:20" x14ac:dyDescent="0.2">
      <c r="F973" s="312"/>
      <c r="M973" s="312"/>
      <c r="T973" s="312"/>
    </row>
    <row r="974" spans="6:20" x14ac:dyDescent="0.2">
      <c r="F974" s="312"/>
      <c r="M974" s="312"/>
      <c r="T974" s="312"/>
    </row>
    <row r="975" spans="6:20" x14ac:dyDescent="0.2">
      <c r="F975" s="312"/>
      <c r="M975" s="312"/>
      <c r="T975" s="312"/>
    </row>
    <row r="976" spans="6:20" x14ac:dyDescent="0.2">
      <c r="F976" s="312"/>
      <c r="M976" s="312"/>
      <c r="T976" s="312"/>
    </row>
    <row r="977" spans="6:20" x14ac:dyDescent="0.2">
      <c r="F977" s="312"/>
      <c r="M977" s="312"/>
      <c r="T977" s="312"/>
    </row>
    <row r="978" spans="6:20" x14ac:dyDescent="0.2">
      <c r="F978" s="312"/>
      <c r="M978" s="312"/>
      <c r="T978" s="312"/>
    </row>
    <row r="979" spans="6:20" x14ac:dyDescent="0.2">
      <c r="F979" s="312"/>
      <c r="M979" s="312"/>
      <c r="T979" s="312"/>
    </row>
    <row r="980" spans="6:20" x14ac:dyDescent="0.2">
      <c r="F980" s="312"/>
      <c r="M980" s="312"/>
      <c r="T980" s="312"/>
    </row>
    <row r="981" spans="6:20" x14ac:dyDescent="0.2">
      <c r="F981" s="312"/>
      <c r="M981" s="312"/>
      <c r="T981" s="312"/>
    </row>
    <row r="982" spans="6:20" x14ac:dyDescent="0.2">
      <c r="F982" s="312"/>
      <c r="M982" s="312"/>
      <c r="T982" s="312"/>
    </row>
    <row r="983" spans="6:20" x14ac:dyDescent="0.2">
      <c r="F983" s="312"/>
      <c r="M983" s="312"/>
      <c r="T983" s="312"/>
    </row>
    <row r="984" spans="6:20" x14ac:dyDescent="0.2">
      <c r="F984" s="312"/>
      <c r="M984" s="312"/>
      <c r="T984" s="312"/>
    </row>
    <row r="985" spans="6:20" x14ac:dyDescent="0.2">
      <c r="F985" s="312"/>
      <c r="M985" s="312"/>
      <c r="T985" s="312"/>
    </row>
    <row r="986" spans="6:20" x14ac:dyDescent="0.2">
      <c r="F986" s="312"/>
      <c r="M986" s="312"/>
      <c r="T986" s="312"/>
    </row>
    <row r="987" spans="6:20" x14ac:dyDescent="0.2">
      <c r="F987" s="312"/>
      <c r="M987" s="312"/>
      <c r="T987" s="312"/>
    </row>
    <row r="988" spans="6:20" x14ac:dyDescent="0.2">
      <c r="F988" s="312"/>
      <c r="M988" s="312"/>
      <c r="T988" s="312"/>
    </row>
    <row r="989" spans="6:20" x14ac:dyDescent="0.2">
      <c r="F989" s="312"/>
      <c r="M989" s="312"/>
      <c r="T989" s="312"/>
    </row>
    <row r="990" spans="6:20" x14ac:dyDescent="0.2">
      <c r="F990" s="312"/>
      <c r="M990" s="312"/>
      <c r="T990" s="312"/>
    </row>
    <row r="991" spans="6:20" x14ac:dyDescent="0.2">
      <c r="F991" s="312"/>
      <c r="M991" s="312"/>
      <c r="T991" s="312"/>
    </row>
    <row r="992" spans="6:20" x14ac:dyDescent="0.2">
      <c r="F992" s="312"/>
      <c r="M992" s="312"/>
      <c r="T992" s="312"/>
    </row>
    <row r="993" spans="6:20" x14ac:dyDescent="0.2">
      <c r="F993" s="312"/>
      <c r="M993" s="312"/>
    </row>
    <row r="994" spans="6:20" x14ac:dyDescent="0.2">
      <c r="F994" s="312"/>
      <c r="M994" s="312"/>
    </row>
    <row r="995" spans="6:20" x14ac:dyDescent="0.2">
      <c r="F995" s="312"/>
      <c r="M995" s="312"/>
      <c r="T995" s="312"/>
    </row>
    <row r="996" spans="6:20" x14ac:dyDescent="0.2">
      <c r="F996" s="312"/>
      <c r="M996" s="312"/>
      <c r="T996" s="312"/>
    </row>
    <row r="997" spans="6:20" x14ac:dyDescent="0.2">
      <c r="F997" s="312"/>
      <c r="M997" s="312"/>
      <c r="T997" s="312"/>
    </row>
    <row r="998" spans="6:20" x14ac:dyDescent="0.2">
      <c r="F998" s="312"/>
      <c r="M998" s="312"/>
      <c r="T998" s="312"/>
    </row>
    <row r="999" spans="6:20" x14ac:dyDescent="0.2">
      <c r="F999" s="312"/>
      <c r="M999" s="312"/>
      <c r="T999" s="312"/>
    </row>
    <row r="1000" spans="6:20" x14ac:dyDescent="0.2">
      <c r="F1000" s="312"/>
      <c r="M1000" s="312"/>
      <c r="T1000" s="312"/>
    </row>
    <row r="1001" spans="6:20" x14ac:dyDescent="0.2">
      <c r="F1001" s="312"/>
      <c r="M1001" s="312"/>
      <c r="T1001" s="312"/>
    </row>
    <row r="1002" spans="6:20" x14ac:dyDescent="0.2">
      <c r="F1002" s="312"/>
      <c r="M1002" s="312"/>
      <c r="T1002" s="312"/>
    </row>
    <row r="1003" spans="6:20" x14ac:dyDescent="0.2">
      <c r="F1003" s="312"/>
      <c r="M1003" s="312"/>
      <c r="T1003" s="312"/>
    </row>
    <row r="1004" spans="6:20" x14ac:dyDescent="0.2">
      <c r="F1004" s="312"/>
      <c r="M1004" s="312"/>
      <c r="T1004" s="312"/>
    </row>
    <row r="1005" spans="6:20" x14ac:dyDescent="0.2">
      <c r="F1005" s="312"/>
      <c r="M1005" s="312"/>
      <c r="T1005" s="312"/>
    </row>
    <row r="1006" spans="6:20" x14ac:dyDescent="0.2">
      <c r="F1006" s="312"/>
      <c r="M1006" s="312"/>
      <c r="T1006" s="312"/>
    </row>
    <row r="1007" spans="6:20" x14ac:dyDescent="0.2">
      <c r="F1007" s="312"/>
      <c r="M1007" s="312"/>
      <c r="T1007" s="312"/>
    </row>
    <row r="1008" spans="6:20" x14ac:dyDescent="0.2">
      <c r="F1008" s="312"/>
      <c r="M1008" s="312"/>
      <c r="T1008" s="312"/>
    </row>
    <row r="1009" spans="6:20" x14ac:dyDescent="0.2">
      <c r="F1009" s="312"/>
      <c r="M1009" s="312"/>
      <c r="T1009" s="312"/>
    </row>
    <row r="1010" spans="6:20" x14ac:dyDescent="0.2">
      <c r="F1010" s="312"/>
      <c r="M1010" s="312"/>
      <c r="T1010" s="312"/>
    </row>
    <row r="1011" spans="6:20" x14ac:dyDescent="0.2">
      <c r="F1011" s="312"/>
      <c r="M1011" s="312"/>
      <c r="T1011" s="312"/>
    </row>
    <row r="1012" spans="6:20" x14ac:dyDescent="0.2">
      <c r="F1012" s="312"/>
      <c r="M1012" s="312"/>
      <c r="T1012" s="312"/>
    </row>
    <row r="1013" spans="6:20" x14ac:dyDescent="0.2">
      <c r="F1013" s="312"/>
      <c r="M1013" s="312"/>
      <c r="T1013" s="312"/>
    </row>
    <row r="1014" spans="6:20" x14ac:dyDescent="0.2">
      <c r="F1014" s="312"/>
      <c r="M1014" s="312"/>
      <c r="T1014" s="312"/>
    </row>
    <row r="1015" spans="6:20" x14ac:dyDescent="0.2">
      <c r="F1015" s="312"/>
      <c r="M1015" s="312"/>
      <c r="T1015" s="312"/>
    </row>
    <row r="1016" spans="6:20" x14ac:dyDescent="0.2">
      <c r="F1016" s="312"/>
      <c r="M1016" s="312"/>
      <c r="T1016" s="312"/>
    </row>
    <row r="1017" spans="6:20" x14ac:dyDescent="0.2">
      <c r="F1017" s="312"/>
      <c r="M1017" s="312"/>
      <c r="T1017" s="312"/>
    </row>
    <row r="1018" spans="6:20" x14ac:dyDescent="0.2">
      <c r="F1018" s="312"/>
      <c r="M1018" s="312"/>
      <c r="T1018" s="312"/>
    </row>
    <row r="1019" spans="6:20" x14ac:dyDescent="0.2">
      <c r="F1019" s="312"/>
      <c r="M1019" s="312"/>
    </row>
    <row r="1020" spans="6:20" x14ac:dyDescent="0.2">
      <c r="F1020" s="312"/>
      <c r="M1020" s="312"/>
    </row>
    <row r="1021" spans="6:20" x14ac:dyDescent="0.2">
      <c r="F1021" s="312"/>
      <c r="M1021" s="312"/>
    </row>
    <row r="1022" spans="6:20" x14ac:dyDescent="0.2">
      <c r="F1022" s="312"/>
      <c r="M1022" s="312"/>
    </row>
    <row r="1023" spans="6:20" x14ac:dyDescent="0.2">
      <c r="F1023" s="312"/>
      <c r="M1023" s="312"/>
    </row>
    <row r="1024" spans="6:20" x14ac:dyDescent="0.2">
      <c r="F1024" s="312"/>
      <c r="M1024" s="312"/>
    </row>
    <row r="1025" spans="6:20" x14ac:dyDescent="0.2">
      <c r="F1025" s="312"/>
      <c r="M1025" s="312"/>
    </row>
    <row r="1026" spans="6:20" x14ac:dyDescent="0.2">
      <c r="F1026" s="312"/>
      <c r="M1026" s="312"/>
      <c r="T1026" s="312"/>
    </row>
    <row r="1027" spans="6:20" x14ac:dyDescent="0.2">
      <c r="F1027" s="312"/>
      <c r="M1027" s="312"/>
      <c r="T1027" s="312"/>
    </row>
    <row r="1028" spans="6:20" x14ac:dyDescent="0.2">
      <c r="F1028" s="312"/>
      <c r="M1028" s="312"/>
      <c r="T1028" s="312"/>
    </row>
    <row r="1029" spans="6:20" x14ac:dyDescent="0.2">
      <c r="F1029" s="312"/>
      <c r="M1029" s="312"/>
      <c r="T1029" s="312"/>
    </row>
    <row r="1030" spans="6:20" x14ac:dyDescent="0.2">
      <c r="F1030" s="312"/>
      <c r="M1030" s="312"/>
      <c r="T1030" s="312"/>
    </row>
    <row r="1031" spans="6:20" x14ac:dyDescent="0.2">
      <c r="F1031" s="312"/>
      <c r="M1031" s="312"/>
      <c r="T1031" s="312"/>
    </row>
    <row r="1032" spans="6:20" x14ac:dyDescent="0.2">
      <c r="F1032" s="312"/>
      <c r="M1032" s="312"/>
      <c r="T1032" s="312"/>
    </row>
    <row r="1033" spans="6:20" x14ac:dyDescent="0.2">
      <c r="F1033" s="312"/>
      <c r="M1033" s="312"/>
      <c r="T1033" s="312"/>
    </row>
    <row r="1034" spans="6:20" x14ac:dyDescent="0.2">
      <c r="F1034" s="312"/>
      <c r="M1034" s="312"/>
      <c r="T1034" s="312"/>
    </row>
    <row r="1035" spans="6:20" x14ac:dyDescent="0.2">
      <c r="F1035" s="312"/>
      <c r="M1035" s="312"/>
      <c r="T1035" s="312"/>
    </row>
    <row r="1036" spans="6:20" x14ac:dyDescent="0.2">
      <c r="F1036" s="312"/>
      <c r="M1036" s="312"/>
      <c r="T1036" s="312"/>
    </row>
    <row r="1037" spans="6:20" x14ac:dyDescent="0.2">
      <c r="F1037" s="312"/>
      <c r="M1037" s="312"/>
      <c r="T1037" s="312"/>
    </row>
    <row r="1038" spans="6:20" x14ac:dyDescent="0.2">
      <c r="F1038" s="312"/>
      <c r="M1038" s="312"/>
      <c r="T1038" s="312"/>
    </row>
    <row r="1039" spans="6:20" x14ac:dyDescent="0.2">
      <c r="F1039" s="312"/>
      <c r="M1039" s="312"/>
      <c r="T1039" s="312"/>
    </row>
    <row r="1040" spans="6:20" x14ac:dyDescent="0.2">
      <c r="F1040" s="312"/>
      <c r="M1040" s="312"/>
      <c r="T1040" s="312"/>
    </row>
    <row r="1041" spans="6:20" x14ac:dyDescent="0.2">
      <c r="F1041" s="312"/>
      <c r="M1041" s="312"/>
      <c r="T1041" s="312"/>
    </row>
    <row r="1042" spans="6:20" x14ac:dyDescent="0.2">
      <c r="F1042" s="312"/>
      <c r="M1042" s="312"/>
      <c r="T1042" s="312"/>
    </row>
    <row r="1043" spans="6:20" x14ac:dyDescent="0.2">
      <c r="F1043" s="312"/>
      <c r="M1043" s="312"/>
      <c r="T1043" s="312"/>
    </row>
    <row r="1044" spans="6:20" x14ac:dyDescent="0.2">
      <c r="F1044" s="312"/>
      <c r="M1044" s="312"/>
      <c r="T1044" s="312"/>
    </row>
    <row r="1045" spans="6:20" x14ac:dyDescent="0.2">
      <c r="F1045" s="312"/>
      <c r="M1045" s="312"/>
      <c r="T1045" s="312"/>
    </row>
    <row r="1046" spans="6:20" x14ac:dyDescent="0.2">
      <c r="F1046" s="312"/>
      <c r="M1046" s="312"/>
      <c r="T1046" s="312"/>
    </row>
    <row r="1047" spans="6:20" x14ac:dyDescent="0.2">
      <c r="F1047" s="312"/>
      <c r="M1047" s="312"/>
      <c r="T1047" s="312"/>
    </row>
    <row r="1048" spans="6:20" x14ac:dyDescent="0.2">
      <c r="F1048" s="312"/>
      <c r="M1048" s="312"/>
      <c r="T1048" s="312"/>
    </row>
    <row r="1049" spans="6:20" x14ac:dyDescent="0.2">
      <c r="F1049" s="312"/>
      <c r="M1049" s="312"/>
      <c r="T1049" s="312"/>
    </row>
    <row r="1050" spans="6:20" x14ac:dyDescent="0.2">
      <c r="F1050" s="312"/>
      <c r="M1050" s="312"/>
      <c r="T1050" s="312"/>
    </row>
    <row r="1051" spans="6:20" x14ac:dyDescent="0.2">
      <c r="F1051" s="312"/>
      <c r="M1051" s="312"/>
      <c r="T1051" s="312"/>
    </row>
    <row r="1052" spans="6:20" x14ac:dyDescent="0.2">
      <c r="F1052" s="312"/>
      <c r="M1052" s="312"/>
      <c r="T1052" s="312"/>
    </row>
    <row r="1053" spans="6:20" x14ac:dyDescent="0.2">
      <c r="F1053" s="312"/>
      <c r="M1053" s="312"/>
      <c r="T1053" s="312"/>
    </row>
    <row r="1054" spans="6:20" x14ac:dyDescent="0.2">
      <c r="F1054" s="312"/>
      <c r="M1054" s="312"/>
      <c r="T1054" s="312"/>
    </row>
    <row r="1055" spans="6:20" x14ac:dyDescent="0.2">
      <c r="F1055" s="312"/>
      <c r="M1055" s="312"/>
      <c r="T1055" s="312"/>
    </row>
    <row r="1056" spans="6:20" x14ac:dyDescent="0.2">
      <c r="F1056" s="312"/>
      <c r="M1056" s="312"/>
      <c r="T1056" s="312"/>
    </row>
    <row r="1057" spans="6:20" x14ac:dyDescent="0.2">
      <c r="F1057" s="312"/>
      <c r="M1057" s="312"/>
      <c r="T1057" s="312"/>
    </row>
    <row r="1058" spans="6:20" x14ac:dyDescent="0.2">
      <c r="F1058" s="312"/>
      <c r="M1058" s="312"/>
      <c r="T1058" s="312"/>
    </row>
    <row r="1059" spans="6:20" x14ac:dyDescent="0.2">
      <c r="F1059" s="312"/>
      <c r="M1059" s="312"/>
      <c r="T1059" s="312"/>
    </row>
    <row r="1060" spans="6:20" x14ac:dyDescent="0.2">
      <c r="F1060" s="312"/>
      <c r="M1060" s="312"/>
      <c r="T1060" s="312"/>
    </row>
    <row r="1061" spans="6:20" x14ac:dyDescent="0.2">
      <c r="F1061" s="312"/>
      <c r="M1061" s="312"/>
      <c r="T1061" s="312"/>
    </row>
    <row r="1062" spans="6:20" x14ac:dyDescent="0.2">
      <c r="F1062" s="312"/>
      <c r="M1062" s="312"/>
      <c r="T1062" s="312"/>
    </row>
    <row r="1063" spans="6:20" x14ac:dyDescent="0.2">
      <c r="F1063" s="312"/>
      <c r="M1063" s="312"/>
      <c r="T1063" s="312"/>
    </row>
    <row r="1064" spans="6:20" x14ac:dyDescent="0.2">
      <c r="F1064" s="312"/>
      <c r="M1064" s="312"/>
      <c r="T1064" s="312"/>
    </row>
    <row r="1065" spans="6:20" x14ac:dyDescent="0.2">
      <c r="F1065" s="312"/>
      <c r="M1065" s="312"/>
      <c r="T1065" s="312"/>
    </row>
    <row r="1066" spans="6:20" x14ac:dyDescent="0.2">
      <c r="F1066" s="312"/>
      <c r="M1066" s="312"/>
      <c r="T1066" s="312"/>
    </row>
    <row r="1067" spans="6:20" x14ac:dyDescent="0.2">
      <c r="F1067" s="312"/>
      <c r="M1067" s="312"/>
      <c r="T1067" s="312"/>
    </row>
    <row r="1068" spans="6:20" x14ac:dyDescent="0.2">
      <c r="F1068" s="312"/>
      <c r="M1068" s="312"/>
      <c r="T1068" s="312"/>
    </row>
    <row r="1069" spans="6:20" x14ac:dyDescent="0.2">
      <c r="F1069" s="312"/>
      <c r="M1069" s="312"/>
      <c r="T1069" s="312"/>
    </row>
    <row r="1070" spans="6:20" x14ac:dyDescent="0.2">
      <c r="F1070" s="312"/>
      <c r="M1070" s="312"/>
      <c r="T1070" s="312"/>
    </row>
    <row r="1071" spans="6:20" x14ac:dyDescent="0.2">
      <c r="F1071" s="312"/>
      <c r="M1071" s="312"/>
      <c r="T1071" s="312"/>
    </row>
    <row r="1072" spans="6:20" x14ac:dyDescent="0.2">
      <c r="F1072" s="312"/>
      <c r="M1072" s="312"/>
      <c r="T1072" s="312"/>
    </row>
    <row r="1073" spans="6:20" x14ac:dyDescent="0.2">
      <c r="F1073" s="312"/>
      <c r="M1073" s="312"/>
      <c r="T1073" s="312"/>
    </row>
    <row r="1074" spans="6:20" x14ac:dyDescent="0.2">
      <c r="F1074" s="312"/>
      <c r="M1074" s="312"/>
      <c r="T1074" s="312"/>
    </row>
    <row r="1075" spans="6:20" x14ac:dyDescent="0.2">
      <c r="F1075" s="312"/>
      <c r="M1075" s="312"/>
      <c r="T1075" s="312"/>
    </row>
    <row r="1076" spans="6:20" x14ac:dyDescent="0.2">
      <c r="F1076" s="312"/>
      <c r="M1076" s="312"/>
      <c r="T1076" s="312"/>
    </row>
    <row r="1077" spans="6:20" x14ac:dyDescent="0.2">
      <c r="F1077" s="312"/>
      <c r="M1077" s="312"/>
      <c r="T1077" s="312"/>
    </row>
    <row r="1078" spans="6:20" x14ac:dyDescent="0.2">
      <c r="F1078" s="312"/>
      <c r="M1078" s="312"/>
      <c r="T1078" s="312"/>
    </row>
    <row r="1079" spans="6:20" x14ac:dyDescent="0.2">
      <c r="F1079" s="312"/>
      <c r="M1079" s="312"/>
    </row>
    <row r="1080" spans="6:20" x14ac:dyDescent="0.2">
      <c r="F1080" s="312"/>
      <c r="M1080" s="312"/>
    </row>
    <row r="1081" spans="6:20" x14ac:dyDescent="0.2">
      <c r="F1081" s="312"/>
      <c r="M1081" s="312"/>
    </row>
    <row r="1082" spans="6:20" x14ac:dyDescent="0.2">
      <c r="M1082" s="312"/>
    </row>
    <row r="1083" spans="6:20" x14ac:dyDescent="0.2">
      <c r="M1083" s="312"/>
    </row>
    <row r="1084" spans="6:20" x14ac:dyDescent="0.2">
      <c r="F1084" s="312"/>
      <c r="M1084" s="312"/>
      <c r="T1084" s="312"/>
    </row>
    <row r="1085" spans="6:20" x14ac:dyDescent="0.2">
      <c r="F1085" s="312"/>
      <c r="M1085" s="312"/>
      <c r="T1085" s="312"/>
    </row>
    <row r="1086" spans="6:20" x14ac:dyDescent="0.2">
      <c r="F1086" s="312"/>
      <c r="M1086" s="312"/>
      <c r="T1086" s="312"/>
    </row>
    <row r="1087" spans="6:20" x14ac:dyDescent="0.2">
      <c r="F1087" s="312"/>
      <c r="M1087" s="312"/>
      <c r="T1087" s="312"/>
    </row>
    <row r="1088" spans="6:20" x14ac:dyDescent="0.2">
      <c r="F1088" s="312"/>
      <c r="M1088" s="312"/>
      <c r="T1088" s="312"/>
    </row>
    <row r="1089" spans="6:20" x14ac:dyDescent="0.2">
      <c r="F1089" s="312"/>
      <c r="M1089" s="312"/>
      <c r="T1089" s="312"/>
    </row>
    <row r="1090" spans="6:20" x14ac:dyDescent="0.2">
      <c r="F1090" s="312"/>
      <c r="M1090" s="312"/>
      <c r="T1090" s="312"/>
    </row>
    <row r="1091" spans="6:20" x14ac:dyDescent="0.2">
      <c r="F1091" s="312"/>
      <c r="M1091" s="312"/>
      <c r="T1091" s="312"/>
    </row>
    <row r="1092" spans="6:20" x14ac:dyDescent="0.2">
      <c r="F1092" s="312"/>
      <c r="M1092" s="312"/>
      <c r="T1092" s="312"/>
    </row>
    <row r="1093" spans="6:20" x14ac:dyDescent="0.2">
      <c r="F1093" s="312"/>
      <c r="M1093" s="312"/>
      <c r="T1093" s="312"/>
    </row>
    <row r="1094" spans="6:20" x14ac:dyDescent="0.2">
      <c r="F1094" s="312"/>
      <c r="M1094" s="312"/>
      <c r="T1094" s="312"/>
    </row>
    <row r="1095" spans="6:20" x14ac:dyDescent="0.2">
      <c r="F1095" s="312"/>
      <c r="M1095" s="312"/>
      <c r="T1095" s="312"/>
    </row>
    <row r="1096" spans="6:20" x14ac:dyDescent="0.2">
      <c r="F1096" s="312"/>
      <c r="M1096" s="312"/>
      <c r="T1096" s="312"/>
    </row>
    <row r="1097" spans="6:20" x14ac:dyDescent="0.2">
      <c r="F1097" s="312"/>
      <c r="M1097" s="312"/>
      <c r="T1097" s="312"/>
    </row>
    <row r="1098" spans="6:20" x14ac:dyDescent="0.2">
      <c r="F1098" s="312"/>
      <c r="M1098" s="312"/>
      <c r="T1098" s="312"/>
    </row>
    <row r="1099" spans="6:20" x14ac:dyDescent="0.2">
      <c r="F1099" s="312"/>
      <c r="M1099" s="312"/>
      <c r="T1099" s="312"/>
    </row>
    <row r="1100" spans="6:20" x14ac:dyDescent="0.2">
      <c r="F1100" s="312"/>
      <c r="M1100" s="312"/>
      <c r="T1100" s="312"/>
    </row>
    <row r="1101" spans="6:20" x14ac:dyDescent="0.2">
      <c r="F1101" s="312"/>
      <c r="M1101" s="312"/>
      <c r="T1101" s="312"/>
    </row>
    <row r="1102" spans="6:20" x14ac:dyDescent="0.2">
      <c r="F1102" s="312"/>
      <c r="M1102" s="312"/>
      <c r="T1102" s="312"/>
    </row>
    <row r="1103" spans="6:20" x14ac:dyDescent="0.2">
      <c r="F1103" s="312"/>
      <c r="M1103" s="312"/>
      <c r="T1103" s="312"/>
    </row>
    <row r="1104" spans="6:20" x14ac:dyDescent="0.2">
      <c r="F1104" s="312"/>
      <c r="M1104" s="312"/>
      <c r="T1104" s="312"/>
    </row>
    <row r="1105" spans="6:20" x14ac:dyDescent="0.2">
      <c r="F1105" s="312"/>
      <c r="M1105" s="312"/>
      <c r="T1105" s="312"/>
    </row>
    <row r="1106" spans="6:20" x14ac:dyDescent="0.2">
      <c r="F1106" s="312"/>
      <c r="M1106" s="312"/>
      <c r="T1106" s="312"/>
    </row>
    <row r="1107" spans="6:20" x14ac:dyDescent="0.2">
      <c r="F1107" s="312"/>
      <c r="M1107" s="312"/>
      <c r="T1107" s="312"/>
    </row>
    <row r="1108" spans="6:20" x14ac:dyDescent="0.2">
      <c r="F1108" s="312"/>
      <c r="M1108" s="312"/>
      <c r="T1108" s="312"/>
    </row>
    <row r="1109" spans="6:20" x14ac:dyDescent="0.2">
      <c r="F1109" s="312"/>
      <c r="M1109" s="312"/>
      <c r="T1109" s="312"/>
    </row>
    <row r="1110" spans="6:20" x14ac:dyDescent="0.2">
      <c r="F1110" s="312"/>
      <c r="M1110" s="312"/>
      <c r="T1110" s="312"/>
    </row>
    <row r="1111" spans="6:20" x14ac:dyDescent="0.2">
      <c r="F1111" s="312"/>
      <c r="M1111" s="312"/>
      <c r="T1111" s="312"/>
    </row>
    <row r="1112" spans="6:20" x14ac:dyDescent="0.2">
      <c r="F1112" s="312"/>
      <c r="M1112" s="312"/>
      <c r="T1112" s="312"/>
    </row>
    <row r="1113" spans="6:20" x14ac:dyDescent="0.2">
      <c r="F1113" s="312"/>
      <c r="M1113" s="312"/>
      <c r="T1113" s="312"/>
    </row>
    <row r="1114" spans="6:20" x14ac:dyDescent="0.2">
      <c r="F1114" s="312"/>
      <c r="M1114" s="312"/>
      <c r="T1114" s="312"/>
    </row>
    <row r="1115" spans="6:20" x14ac:dyDescent="0.2">
      <c r="F1115" s="312"/>
      <c r="M1115" s="312"/>
      <c r="T1115" s="312"/>
    </row>
    <row r="1116" spans="6:20" x14ac:dyDescent="0.2">
      <c r="F1116" s="312"/>
      <c r="M1116" s="312"/>
      <c r="T1116" s="312"/>
    </row>
    <row r="1117" spans="6:20" x14ac:dyDescent="0.2">
      <c r="F1117" s="312"/>
      <c r="M1117" s="312"/>
      <c r="T1117" s="312"/>
    </row>
    <row r="1118" spans="6:20" x14ac:dyDescent="0.2">
      <c r="F1118" s="312"/>
      <c r="M1118" s="312"/>
      <c r="T1118" s="312"/>
    </row>
    <row r="1119" spans="6:20" x14ac:dyDescent="0.2">
      <c r="F1119" s="312"/>
      <c r="M1119" s="312"/>
      <c r="T1119" s="312"/>
    </row>
    <row r="1120" spans="6:20" x14ac:dyDescent="0.2">
      <c r="F1120" s="312"/>
      <c r="M1120" s="312"/>
      <c r="T1120" s="312"/>
    </row>
    <row r="1121" spans="6:20" x14ac:dyDescent="0.2">
      <c r="F1121" s="312"/>
      <c r="M1121" s="312"/>
      <c r="T1121" s="312"/>
    </row>
    <row r="1122" spans="6:20" x14ac:dyDescent="0.2">
      <c r="F1122" s="312"/>
      <c r="M1122" s="312"/>
      <c r="T1122" s="312"/>
    </row>
    <row r="1123" spans="6:20" x14ac:dyDescent="0.2">
      <c r="F1123" s="312"/>
      <c r="M1123" s="312"/>
      <c r="T1123" s="312"/>
    </row>
    <row r="1124" spans="6:20" x14ac:dyDescent="0.2">
      <c r="F1124" s="312"/>
      <c r="M1124" s="312"/>
      <c r="T1124" s="312"/>
    </row>
    <row r="1125" spans="6:20" x14ac:dyDescent="0.2">
      <c r="F1125" s="312"/>
      <c r="M1125" s="312"/>
      <c r="T1125" s="312"/>
    </row>
    <row r="1126" spans="6:20" x14ac:dyDescent="0.2">
      <c r="F1126" s="312"/>
      <c r="M1126" s="312"/>
      <c r="T1126" s="312"/>
    </row>
    <row r="1127" spans="6:20" x14ac:dyDescent="0.2">
      <c r="F1127" s="312"/>
      <c r="M1127" s="312"/>
      <c r="T1127" s="312"/>
    </row>
    <row r="1128" spans="6:20" x14ac:dyDescent="0.2">
      <c r="F1128" s="312"/>
      <c r="M1128" s="312"/>
      <c r="T1128" s="312"/>
    </row>
    <row r="1129" spans="6:20" x14ac:dyDescent="0.2">
      <c r="F1129" s="312"/>
      <c r="M1129" s="312"/>
      <c r="T1129" s="312"/>
    </row>
    <row r="1130" spans="6:20" x14ac:dyDescent="0.2">
      <c r="F1130" s="312"/>
      <c r="M1130" s="312"/>
      <c r="T1130" s="312"/>
    </row>
    <row r="1131" spans="6:20" x14ac:dyDescent="0.2">
      <c r="F1131" s="312"/>
      <c r="M1131" s="312"/>
      <c r="T1131" s="312"/>
    </row>
    <row r="1132" spans="6:20" x14ac:dyDescent="0.2">
      <c r="F1132" s="312"/>
      <c r="M1132" s="312"/>
      <c r="T1132" s="312"/>
    </row>
    <row r="1133" spans="6:20" x14ac:dyDescent="0.2">
      <c r="F1133" s="312"/>
      <c r="M1133" s="312"/>
      <c r="T1133" s="312"/>
    </row>
    <row r="1134" spans="6:20" x14ac:dyDescent="0.2">
      <c r="F1134" s="312"/>
      <c r="M1134" s="312"/>
      <c r="T1134" s="312"/>
    </row>
    <row r="1135" spans="6:20" x14ac:dyDescent="0.2">
      <c r="F1135" s="312"/>
      <c r="M1135" s="312"/>
      <c r="T1135" s="312"/>
    </row>
    <row r="1136" spans="6:20" x14ac:dyDescent="0.2">
      <c r="F1136" s="312"/>
      <c r="M1136" s="312"/>
      <c r="T1136" s="312"/>
    </row>
    <row r="1137" spans="6:20" x14ac:dyDescent="0.2">
      <c r="F1137" s="312"/>
      <c r="M1137" s="312"/>
      <c r="T1137" s="312"/>
    </row>
    <row r="1138" spans="6:20" x14ac:dyDescent="0.2">
      <c r="F1138" s="312"/>
      <c r="M1138" s="312"/>
      <c r="T1138" s="312"/>
    </row>
    <row r="1139" spans="6:20" x14ac:dyDescent="0.2">
      <c r="F1139" s="312"/>
      <c r="M1139" s="312"/>
      <c r="T1139" s="312"/>
    </row>
    <row r="1140" spans="6:20" x14ac:dyDescent="0.2">
      <c r="F1140" s="312"/>
      <c r="M1140" s="312"/>
    </row>
    <row r="1141" spans="6:20" x14ac:dyDescent="0.2">
      <c r="F1141" s="312"/>
      <c r="M1141" s="312"/>
    </row>
    <row r="1142" spans="6:20" x14ac:dyDescent="0.2">
      <c r="F1142" s="312"/>
      <c r="M1142" s="312"/>
    </row>
    <row r="1143" spans="6:20" x14ac:dyDescent="0.2">
      <c r="F1143" s="312"/>
      <c r="M1143" s="312"/>
      <c r="T1143" s="312"/>
    </row>
    <row r="1144" spans="6:20" x14ac:dyDescent="0.2">
      <c r="F1144" s="312"/>
      <c r="M1144" s="312"/>
      <c r="T1144" s="312"/>
    </row>
    <row r="1145" spans="6:20" x14ac:dyDescent="0.2">
      <c r="F1145" s="312"/>
      <c r="M1145" s="312"/>
      <c r="T1145" s="312"/>
    </row>
    <row r="1146" spans="6:20" x14ac:dyDescent="0.2">
      <c r="F1146" s="312"/>
      <c r="M1146" s="312"/>
      <c r="T1146" s="312"/>
    </row>
    <row r="1147" spans="6:20" x14ac:dyDescent="0.2">
      <c r="F1147" s="312"/>
      <c r="M1147" s="312"/>
      <c r="T1147" s="312"/>
    </row>
    <row r="1148" spans="6:20" x14ac:dyDescent="0.2">
      <c r="F1148" s="312"/>
      <c r="M1148" s="312"/>
      <c r="T1148" s="312"/>
    </row>
    <row r="1149" spans="6:20" x14ac:dyDescent="0.2">
      <c r="F1149" s="312"/>
      <c r="M1149" s="312"/>
      <c r="T1149" s="312"/>
    </row>
    <row r="1150" spans="6:20" x14ac:dyDescent="0.2">
      <c r="F1150" s="312"/>
      <c r="M1150" s="312"/>
      <c r="T1150" s="312"/>
    </row>
    <row r="1151" spans="6:20" x14ac:dyDescent="0.2">
      <c r="F1151" s="312"/>
      <c r="M1151" s="312"/>
      <c r="T1151" s="312"/>
    </row>
    <row r="1152" spans="6:20" x14ac:dyDescent="0.2">
      <c r="F1152" s="312"/>
      <c r="M1152" s="312"/>
      <c r="T1152" s="312"/>
    </row>
    <row r="1153" spans="6:20" x14ac:dyDescent="0.2">
      <c r="F1153" s="312"/>
      <c r="M1153" s="312"/>
      <c r="T1153" s="312"/>
    </row>
    <row r="1154" spans="6:20" x14ac:dyDescent="0.2">
      <c r="F1154" s="312"/>
      <c r="M1154" s="312"/>
      <c r="T1154" s="312"/>
    </row>
    <row r="1155" spans="6:20" x14ac:dyDescent="0.2">
      <c r="F1155" s="312"/>
      <c r="M1155" s="312"/>
      <c r="T1155" s="312"/>
    </row>
    <row r="1156" spans="6:20" x14ac:dyDescent="0.2">
      <c r="F1156" s="312"/>
      <c r="M1156" s="312"/>
      <c r="T1156" s="312"/>
    </row>
    <row r="1157" spans="6:20" x14ac:dyDescent="0.2">
      <c r="F1157" s="312"/>
      <c r="M1157" s="312"/>
      <c r="T1157" s="312"/>
    </row>
    <row r="1158" spans="6:20" x14ac:dyDescent="0.2">
      <c r="F1158" s="312"/>
      <c r="M1158" s="312"/>
      <c r="T1158" s="312"/>
    </row>
    <row r="1159" spans="6:20" x14ac:dyDescent="0.2">
      <c r="F1159" s="312"/>
      <c r="M1159" s="312"/>
      <c r="T1159" s="312"/>
    </row>
    <row r="1160" spans="6:20" x14ac:dyDescent="0.2">
      <c r="F1160" s="312"/>
      <c r="M1160" s="312"/>
      <c r="T1160" s="312"/>
    </row>
    <row r="1161" spans="6:20" x14ac:dyDescent="0.2">
      <c r="F1161" s="312"/>
      <c r="M1161" s="312"/>
      <c r="T1161" s="312"/>
    </row>
    <row r="1162" spans="6:20" x14ac:dyDescent="0.2">
      <c r="F1162" s="312"/>
      <c r="M1162" s="312"/>
      <c r="T1162" s="312"/>
    </row>
    <row r="1163" spans="6:20" x14ac:dyDescent="0.2">
      <c r="F1163" s="312"/>
      <c r="M1163" s="312"/>
      <c r="T1163" s="312"/>
    </row>
    <row r="1164" spans="6:20" x14ac:dyDescent="0.2">
      <c r="F1164" s="312"/>
      <c r="M1164" s="312"/>
      <c r="T1164" s="312"/>
    </row>
    <row r="1165" spans="6:20" x14ac:dyDescent="0.2">
      <c r="F1165" s="312"/>
      <c r="M1165" s="312"/>
      <c r="T1165" s="312"/>
    </row>
    <row r="1166" spans="6:20" x14ac:dyDescent="0.2">
      <c r="F1166" s="312"/>
      <c r="M1166" s="312"/>
      <c r="T1166" s="312"/>
    </row>
    <row r="1167" spans="6:20" x14ac:dyDescent="0.2">
      <c r="F1167" s="312"/>
      <c r="M1167" s="312"/>
      <c r="T1167" s="312"/>
    </row>
    <row r="1168" spans="6:20" x14ac:dyDescent="0.2">
      <c r="F1168" s="312"/>
      <c r="M1168" s="312"/>
      <c r="T1168" s="312"/>
    </row>
    <row r="1169" spans="6:20" x14ac:dyDescent="0.2">
      <c r="F1169" s="312"/>
      <c r="M1169" s="312"/>
      <c r="T1169" s="312"/>
    </row>
    <row r="1170" spans="6:20" x14ac:dyDescent="0.2">
      <c r="F1170" s="312"/>
      <c r="M1170" s="312"/>
      <c r="T1170" s="312"/>
    </row>
    <row r="1171" spans="6:20" x14ac:dyDescent="0.2">
      <c r="F1171" s="312"/>
      <c r="M1171" s="312"/>
      <c r="T1171" s="312"/>
    </row>
    <row r="1172" spans="6:20" x14ac:dyDescent="0.2">
      <c r="F1172" s="312"/>
      <c r="M1172" s="312"/>
      <c r="T1172" s="312"/>
    </row>
    <row r="1173" spans="6:20" x14ac:dyDescent="0.2">
      <c r="F1173" s="312"/>
      <c r="M1173" s="312"/>
      <c r="T1173" s="312"/>
    </row>
    <row r="1174" spans="6:20" x14ac:dyDescent="0.2">
      <c r="F1174" s="312"/>
      <c r="M1174" s="312"/>
      <c r="T1174" s="312"/>
    </row>
    <row r="1175" spans="6:20" x14ac:dyDescent="0.2">
      <c r="F1175" s="312"/>
      <c r="M1175" s="312"/>
      <c r="T1175" s="312"/>
    </row>
    <row r="1176" spans="6:20" x14ac:dyDescent="0.2">
      <c r="F1176" s="312"/>
      <c r="M1176" s="312"/>
      <c r="T1176" s="312"/>
    </row>
    <row r="1177" spans="6:20" x14ac:dyDescent="0.2">
      <c r="F1177" s="312"/>
      <c r="M1177" s="312"/>
      <c r="T1177" s="312"/>
    </row>
    <row r="1178" spans="6:20" x14ac:dyDescent="0.2">
      <c r="F1178" s="312"/>
      <c r="M1178" s="312"/>
      <c r="T1178" s="312"/>
    </row>
    <row r="1179" spans="6:20" x14ac:dyDescent="0.2">
      <c r="F1179" s="312"/>
      <c r="M1179" s="312"/>
      <c r="T1179" s="312"/>
    </row>
    <row r="1180" spans="6:20" x14ac:dyDescent="0.2">
      <c r="F1180" s="312"/>
      <c r="M1180" s="312"/>
      <c r="T1180" s="312"/>
    </row>
    <row r="1181" spans="6:20" x14ac:dyDescent="0.2">
      <c r="F1181" s="312"/>
      <c r="M1181" s="312"/>
      <c r="T1181" s="312"/>
    </row>
    <row r="1182" spans="6:20" x14ac:dyDescent="0.2">
      <c r="F1182" s="312"/>
      <c r="M1182" s="312"/>
      <c r="T1182" s="312"/>
    </row>
    <row r="1183" spans="6:20" x14ac:dyDescent="0.2">
      <c r="F1183" s="312"/>
      <c r="M1183" s="312"/>
      <c r="T1183" s="312"/>
    </row>
    <row r="1184" spans="6:20" x14ac:dyDescent="0.2">
      <c r="F1184" s="312"/>
      <c r="M1184" s="312"/>
      <c r="T1184" s="312"/>
    </row>
    <row r="1185" spans="6:20" x14ac:dyDescent="0.2">
      <c r="F1185" s="312"/>
      <c r="M1185" s="312"/>
      <c r="T1185" s="312"/>
    </row>
    <row r="1186" spans="6:20" x14ac:dyDescent="0.2">
      <c r="F1186" s="312"/>
      <c r="M1186" s="312"/>
      <c r="T1186" s="312"/>
    </row>
    <row r="1187" spans="6:20" x14ac:dyDescent="0.2">
      <c r="F1187" s="312"/>
      <c r="M1187" s="312"/>
      <c r="T1187" s="312"/>
    </row>
    <row r="1188" spans="6:20" x14ac:dyDescent="0.2">
      <c r="F1188" s="312"/>
      <c r="M1188" s="312"/>
      <c r="T1188" s="312"/>
    </row>
    <row r="1189" spans="6:20" x14ac:dyDescent="0.2">
      <c r="F1189" s="312"/>
      <c r="M1189" s="312"/>
      <c r="T1189" s="312"/>
    </row>
    <row r="1190" spans="6:20" x14ac:dyDescent="0.2">
      <c r="F1190" s="312"/>
      <c r="M1190" s="312"/>
      <c r="T1190" s="312"/>
    </row>
    <row r="1191" spans="6:20" x14ac:dyDescent="0.2">
      <c r="F1191" s="312"/>
      <c r="M1191" s="312"/>
      <c r="T1191" s="312"/>
    </row>
    <row r="1192" spans="6:20" x14ac:dyDescent="0.2">
      <c r="F1192" s="312"/>
      <c r="M1192" s="312"/>
      <c r="T1192" s="312"/>
    </row>
    <row r="1193" spans="6:20" x14ac:dyDescent="0.2">
      <c r="F1193" s="312"/>
      <c r="M1193" s="312"/>
      <c r="T1193" s="312"/>
    </row>
    <row r="1194" spans="6:20" x14ac:dyDescent="0.2">
      <c r="F1194" s="312"/>
      <c r="M1194" s="312"/>
      <c r="T1194" s="312"/>
    </row>
    <row r="1195" spans="6:20" x14ac:dyDescent="0.2">
      <c r="F1195" s="312"/>
      <c r="M1195" s="312"/>
      <c r="T1195" s="312"/>
    </row>
    <row r="1196" spans="6:20" x14ac:dyDescent="0.2">
      <c r="F1196" s="312"/>
      <c r="M1196" s="312"/>
      <c r="T1196" s="312"/>
    </row>
    <row r="1197" spans="6:20" x14ac:dyDescent="0.2">
      <c r="F1197" s="312"/>
      <c r="M1197" s="312"/>
      <c r="T1197" s="312"/>
    </row>
    <row r="1198" spans="6:20" x14ac:dyDescent="0.2">
      <c r="F1198" s="312"/>
      <c r="M1198" s="312"/>
      <c r="T1198" s="312"/>
    </row>
    <row r="1199" spans="6:20" x14ac:dyDescent="0.2">
      <c r="F1199" s="312"/>
      <c r="M1199" s="312"/>
      <c r="T1199" s="312"/>
    </row>
    <row r="1200" spans="6:20" x14ac:dyDescent="0.2">
      <c r="F1200" s="312"/>
      <c r="M1200" s="312"/>
      <c r="T1200" s="312"/>
    </row>
    <row r="1201" spans="6:20" x14ac:dyDescent="0.2">
      <c r="F1201" s="312"/>
      <c r="M1201" s="312"/>
      <c r="T1201" s="312"/>
    </row>
    <row r="1202" spans="6:20" x14ac:dyDescent="0.2">
      <c r="F1202" s="312"/>
      <c r="M1202" s="312"/>
      <c r="T1202" s="312"/>
    </row>
    <row r="1203" spans="6:20" x14ac:dyDescent="0.2">
      <c r="F1203" s="312"/>
      <c r="M1203" s="312"/>
      <c r="T1203" s="312"/>
    </row>
    <row r="1204" spans="6:20" x14ac:dyDescent="0.2">
      <c r="F1204" s="312"/>
      <c r="M1204" s="312"/>
      <c r="T1204" s="312"/>
    </row>
    <row r="1205" spans="6:20" x14ac:dyDescent="0.2">
      <c r="F1205" s="312"/>
      <c r="M1205" s="312"/>
      <c r="T1205" s="312"/>
    </row>
    <row r="1206" spans="6:20" x14ac:dyDescent="0.2">
      <c r="F1206" s="312"/>
      <c r="M1206" s="312"/>
      <c r="T1206" s="312"/>
    </row>
    <row r="1207" spans="6:20" x14ac:dyDescent="0.2">
      <c r="F1207" s="312"/>
      <c r="M1207" s="312"/>
      <c r="T1207" s="312"/>
    </row>
    <row r="1208" spans="6:20" x14ac:dyDescent="0.2">
      <c r="F1208" s="312"/>
      <c r="M1208" s="312"/>
      <c r="T1208" s="312"/>
    </row>
    <row r="1209" spans="6:20" x14ac:dyDescent="0.2">
      <c r="F1209" s="312"/>
      <c r="M1209" s="312"/>
      <c r="T1209" s="312"/>
    </row>
    <row r="1210" spans="6:20" x14ac:dyDescent="0.2">
      <c r="F1210" s="312"/>
      <c r="M1210" s="312"/>
      <c r="T1210" s="312"/>
    </row>
    <row r="1211" spans="6:20" x14ac:dyDescent="0.2">
      <c r="F1211" s="312"/>
      <c r="M1211" s="312"/>
      <c r="T1211" s="312"/>
    </row>
    <row r="1212" spans="6:20" x14ac:dyDescent="0.2">
      <c r="F1212" s="312"/>
      <c r="M1212" s="312"/>
      <c r="T1212" s="312"/>
    </row>
    <row r="1213" spans="6:20" x14ac:dyDescent="0.2">
      <c r="F1213" s="312"/>
      <c r="M1213" s="312"/>
      <c r="T1213" s="312"/>
    </row>
    <row r="1214" spans="6:20" x14ac:dyDescent="0.2">
      <c r="F1214" s="312"/>
      <c r="M1214" s="312"/>
      <c r="T1214" s="312"/>
    </row>
    <row r="1215" spans="6:20" x14ac:dyDescent="0.2">
      <c r="F1215" s="312"/>
      <c r="M1215" s="312"/>
      <c r="T1215" s="312"/>
    </row>
    <row r="1216" spans="6:20" x14ac:dyDescent="0.2">
      <c r="F1216" s="312"/>
      <c r="M1216" s="312"/>
      <c r="T1216" s="312"/>
    </row>
    <row r="1217" spans="6:20" x14ac:dyDescent="0.2">
      <c r="F1217" s="312"/>
      <c r="M1217" s="312"/>
      <c r="T1217" s="312"/>
    </row>
    <row r="1218" spans="6:20" x14ac:dyDescent="0.2">
      <c r="F1218" s="312"/>
      <c r="M1218" s="312"/>
      <c r="T1218" s="312"/>
    </row>
    <row r="1219" spans="6:20" x14ac:dyDescent="0.2">
      <c r="F1219" s="312"/>
      <c r="M1219" s="312"/>
      <c r="T1219" s="312"/>
    </row>
    <row r="1220" spans="6:20" x14ac:dyDescent="0.2">
      <c r="F1220" s="312"/>
      <c r="M1220" s="312"/>
      <c r="T1220" s="312"/>
    </row>
    <row r="1221" spans="6:20" x14ac:dyDescent="0.2">
      <c r="F1221" s="312"/>
      <c r="M1221" s="312"/>
      <c r="T1221" s="312"/>
    </row>
    <row r="1222" spans="6:20" x14ac:dyDescent="0.2">
      <c r="F1222" s="312"/>
      <c r="M1222" s="312"/>
      <c r="T1222" s="312"/>
    </row>
    <row r="1223" spans="6:20" x14ac:dyDescent="0.2">
      <c r="F1223" s="312"/>
      <c r="M1223" s="312"/>
      <c r="T1223" s="312"/>
    </row>
    <row r="1224" spans="6:20" x14ac:dyDescent="0.2">
      <c r="F1224" s="312"/>
      <c r="M1224" s="312"/>
      <c r="T1224" s="312"/>
    </row>
    <row r="1225" spans="6:20" x14ac:dyDescent="0.2">
      <c r="F1225" s="312"/>
      <c r="M1225" s="312"/>
      <c r="T1225" s="312"/>
    </row>
    <row r="1226" spans="6:20" x14ac:dyDescent="0.2">
      <c r="F1226" s="312"/>
      <c r="M1226" s="312"/>
      <c r="T1226" s="312"/>
    </row>
    <row r="1227" spans="6:20" x14ac:dyDescent="0.2">
      <c r="F1227" s="312"/>
      <c r="M1227" s="312"/>
      <c r="T1227" s="312"/>
    </row>
    <row r="1228" spans="6:20" x14ac:dyDescent="0.2">
      <c r="F1228" s="312"/>
      <c r="M1228" s="312"/>
      <c r="T1228" s="312"/>
    </row>
    <row r="1229" spans="6:20" x14ac:dyDescent="0.2">
      <c r="F1229" s="312"/>
      <c r="M1229" s="312"/>
      <c r="T1229" s="312"/>
    </row>
    <row r="1230" spans="6:20" x14ac:dyDescent="0.2">
      <c r="F1230" s="312"/>
      <c r="M1230" s="312"/>
      <c r="T1230" s="312"/>
    </row>
    <row r="1231" spans="6:20" x14ac:dyDescent="0.2">
      <c r="F1231" s="312"/>
      <c r="M1231" s="312"/>
      <c r="T1231" s="312"/>
    </row>
    <row r="1232" spans="6:20" x14ac:dyDescent="0.2">
      <c r="F1232" s="312"/>
      <c r="M1232" s="312"/>
      <c r="T1232" s="312"/>
    </row>
    <row r="1233" spans="6:20" x14ac:dyDescent="0.2">
      <c r="F1233" s="312"/>
      <c r="M1233" s="312"/>
      <c r="T1233" s="312"/>
    </row>
    <row r="1234" spans="6:20" x14ac:dyDescent="0.2">
      <c r="F1234" s="312"/>
      <c r="M1234" s="312"/>
      <c r="T1234" s="312"/>
    </row>
    <row r="1235" spans="6:20" x14ac:dyDescent="0.2">
      <c r="F1235" s="312"/>
      <c r="M1235" s="312"/>
      <c r="T1235" s="312"/>
    </row>
    <row r="1236" spans="6:20" x14ac:dyDescent="0.2">
      <c r="F1236" s="312"/>
      <c r="M1236" s="312"/>
      <c r="T1236" s="312"/>
    </row>
    <row r="1237" spans="6:20" x14ac:dyDescent="0.2">
      <c r="F1237" s="312"/>
      <c r="M1237" s="312"/>
      <c r="T1237" s="312"/>
    </row>
    <row r="1238" spans="6:20" x14ac:dyDescent="0.2">
      <c r="F1238" s="312"/>
      <c r="M1238" s="312"/>
      <c r="T1238" s="312"/>
    </row>
    <row r="1239" spans="6:20" x14ac:dyDescent="0.2">
      <c r="F1239" s="312"/>
      <c r="M1239" s="312"/>
      <c r="T1239" s="312"/>
    </row>
    <row r="1240" spans="6:20" x14ac:dyDescent="0.2">
      <c r="F1240" s="312"/>
      <c r="M1240" s="312"/>
      <c r="T1240" s="312"/>
    </row>
    <row r="1241" spans="6:20" x14ac:dyDescent="0.2">
      <c r="F1241" s="312"/>
      <c r="M1241" s="312"/>
      <c r="T1241" s="312"/>
    </row>
    <row r="1242" spans="6:20" x14ac:dyDescent="0.2">
      <c r="F1242" s="312"/>
      <c r="M1242" s="312"/>
      <c r="T1242" s="312"/>
    </row>
    <row r="1243" spans="6:20" x14ac:dyDescent="0.2">
      <c r="F1243" s="312"/>
      <c r="M1243" s="312"/>
      <c r="T1243" s="312"/>
    </row>
    <row r="1244" spans="6:20" x14ac:dyDescent="0.2">
      <c r="F1244" s="312"/>
      <c r="M1244" s="312"/>
      <c r="T1244" s="312"/>
    </row>
    <row r="1245" spans="6:20" x14ac:dyDescent="0.2">
      <c r="F1245" s="312"/>
      <c r="M1245" s="312"/>
      <c r="T1245" s="312"/>
    </row>
    <row r="1246" spans="6:20" x14ac:dyDescent="0.2">
      <c r="F1246" s="312"/>
      <c r="M1246" s="312"/>
      <c r="T1246" s="312"/>
    </row>
    <row r="1247" spans="6:20" x14ac:dyDescent="0.2">
      <c r="F1247" s="312"/>
      <c r="M1247" s="312"/>
      <c r="T1247" s="312"/>
    </row>
    <row r="1248" spans="6:20" x14ac:dyDescent="0.2">
      <c r="F1248" s="312"/>
      <c r="M1248" s="312"/>
      <c r="T1248" s="312"/>
    </row>
    <row r="1249" spans="6:20" x14ac:dyDescent="0.2">
      <c r="F1249" s="312"/>
      <c r="M1249" s="312"/>
      <c r="T1249" s="312"/>
    </row>
    <row r="1250" spans="6:20" x14ac:dyDescent="0.2">
      <c r="F1250" s="312"/>
      <c r="M1250" s="312"/>
      <c r="T1250" s="312"/>
    </row>
    <row r="1251" spans="6:20" x14ac:dyDescent="0.2">
      <c r="F1251" s="312"/>
      <c r="M1251" s="312"/>
      <c r="T1251" s="312"/>
    </row>
    <row r="1252" spans="6:20" x14ac:dyDescent="0.2">
      <c r="F1252" s="312"/>
      <c r="M1252" s="312"/>
      <c r="T1252" s="312"/>
    </row>
    <row r="1253" spans="6:20" x14ac:dyDescent="0.2">
      <c r="F1253" s="312"/>
      <c r="M1253" s="312"/>
      <c r="T1253" s="312"/>
    </row>
    <row r="1254" spans="6:20" x14ac:dyDescent="0.2">
      <c r="F1254" s="312"/>
      <c r="M1254" s="312"/>
      <c r="T1254" s="312"/>
    </row>
    <row r="1255" spans="6:20" x14ac:dyDescent="0.2">
      <c r="F1255" s="312"/>
      <c r="M1255" s="312"/>
      <c r="T1255" s="312"/>
    </row>
    <row r="1256" spans="6:20" x14ac:dyDescent="0.2">
      <c r="F1256" s="312"/>
      <c r="M1256" s="312"/>
      <c r="T1256" s="312"/>
    </row>
    <row r="1257" spans="6:20" x14ac:dyDescent="0.2">
      <c r="F1257" s="312"/>
      <c r="M1257" s="312"/>
      <c r="T1257" s="312"/>
    </row>
    <row r="1258" spans="6:20" x14ac:dyDescent="0.2">
      <c r="F1258" s="312"/>
      <c r="M1258" s="312"/>
      <c r="T1258" s="312"/>
    </row>
    <row r="1259" spans="6:20" x14ac:dyDescent="0.2">
      <c r="F1259" s="312"/>
      <c r="M1259" s="312"/>
      <c r="T1259" s="312"/>
    </row>
    <row r="1260" spans="6:20" x14ac:dyDescent="0.2">
      <c r="F1260" s="312"/>
      <c r="M1260" s="312"/>
      <c r="T1260" s="312"/>
    </row>
    <row r="1261" spans="6:20" x14ac:dyDescent="0.2">
      <c r="F1261" s="312"/>
      <c r="M1261" s="312"/>
      <c r="T1261" s="312"/>
    </row>
    <row r="1262" spans="6:20" x14ac:dyDescent="0.2">
      <c r="F1262" s="312"/>
      <c r="M1262" s="312"/>
      <c r="T1262" s="312"/>
    </row>
    <row r="1263" spans="6:20" x14ac:dyDescent="0.2">
      <c r="F1263" s="312"/>
      <c r="M1263" s="312"/>
      <c r="T1263" s="312"/>
    </row>
    <row r="1264" spans="6:20" x14ac:dyDescent="0.2">
      <c r="F1264" s="312"/>
      <c r="M1264" s="312"/>
      <c r="T1264" s="312"/>
    </row>
    <row r="1265" spans="6:20" x14ac:dyDescent="0.2">
      <c r="F1265" s="312"/>
      <c r="M1265" s="312"/>
      <c r="T1265" s="312"/>
    </row>
    <row r="1266" spans="6:20" x14ac:dyDescent="0.2">
      <c r="F1266" s="312"/>
      <c r="M1266" s="312"/>
      <c r="T1266" s="312"/>
    </row>
    <row r="1267" spans="6:20" x14ac:dyDescent="0.2">
      <c r="F1267" s="312"/>
      <c r="M1267" s="312"/>
      <c r="T1267" s="312"/>
    </row>
    <row r="1268" spans="6:20" x14ac:dyDescent="0.2">
      <c r="F1268" s="312"/>
      <c r="M1268" s="312"/>
      <c r="T1268" s="312"/>
    </row>
    <row r="1269" spans="6:20" x14ac:dyDescent="0.2">
      <c r="F1269" s="312"/>
      <c r="M1269" s="312"/>
      <c r="T1269" s="312"/>
    </row>
    <row r="1270" spans="6:20" x14ac:dyDescent="0.2">
      <c r="F1270" s="312"/>
      <c r="M1270" s="312"/>
      <c r="T1270" s="312"/>
    </row>
    <row r="1271" spans="6:20" x14ac:dyDescent="0.2">
      <c r="F1271" s="312"/>
      <c r="M1271" s="312"/>
      <c r="T1271" s="312"/>
    </row>
    <row r="1272" spans="6:20" x14ac:dyDescent="0.2">
      <c r="F1272" s="312"/>
      <c r="M1272" s="312"/>
      <c r="T1272" s="312"/>
    </row>
    <row r="1273" spans="6:20" x14ac:dyDescent="0.2">
      <c r="F1273" s="312"/>
      <c r="M1273" s="312"/>
      <c r="T1273" s="312"/>
    </row>
    <row r="1274" spans="6:20" x14ac:dyDescent="0.2">
      <c r="F1274" s="312"/>
      <c r="M1274" s="312"/>
      <c r="T1274" s="312"/>
    </row>
    <row r="1275" spans="6:20" x14ac:dyDescent="0.2">
      <c r="F1275" s="312"/>
      <c r="M1275" s="312"/>
      <c r="T1275" s="312"/>
    </row>
    <row r="1276" spans="6:20" x14ac:dyDescent="0.2">
      <c r="F1276" s="312"/>
      <c r="M1276" s="312"/>
      <c r="T1276" s="312"/>
    </row>
    <row r="1277" spans="6:20" x14ac:dyDescent="0.2">
      <c r="F1277" s="312"/>
      <c r="M1277" s="312"/>
      <c r="T1277" s="312"/>
    </row>
    <row r="1278" spans="6:20" x14ac:dyDescent="0.2">
      <c r="F1278" s="312"/>
      <c r="M1278" s="312"/>
      <c r="T1278" s="312"/>
    </row>
    <row r="1279" spans="6:20" x14ac:dyDescent="0.2">
      <c r="F1279" s="312"/>
      <c r="M1279" s="312"/>
      <c r="T1279" s="312"/>
    </row>
    <row r="1280" spans="6:20" x14ac:dyDescent="0.2">
      <c r="F1280" s="312"/>
      <c r="M1280" s="312"/>
      <c r="T1280" s="312"/>
    </row>
    <row r="1281" spans="6:20" x14ac:dyDescent="0.2">
      <c r="F1281" s="312"/>
      <c r="M1281" s="312"/>
      <c r="T1281" s="312"/>
    </row>
    <row r="1282" spans="6:20" x14ac:dyDescent="0.2">
      <c r="F1282" s="312"/>
      <c r="M1282" s="312"/>
      <c r="T1282" s="312"/>
    </row>
    <row r="1283" spans="6:20" x14ac:dyDescent="0.2">
      <c r="F1283" s="312"/>
      <c r="M1283" s="312"/>
      <c r="T1283" s="312"/>
    </row>
    <row r="1284" spans="6:20" x14ac:dyDescent="0.2">
      <c r="F1284" s="312"/>
      <c r="M1284" s="312"/>
      <c r="T1284" s="312"/>
    </row>
    <row r="1285" spans="6:20" x14ac:dyDescent="0.2">
      <c r="F1285" s="312"/>
      <c r="M1285" s="312"/>
      <c r="T1285" s="312"/>
    </row>
    <row r="1286" spans="6:20" x14ac:dyDescent="0.2">
      <c r="F1286" s="312"/>
      <c r="M1286" s="312"/>
      <c r="T1286" s="312"/>
    </row>
    <row r="1287" spans="6:20" x14ac:dyDescent="0.2">
      <c r="F1287" s="312"/>
      <c r="M1287" s="312"/>
      <c r="T1287" s="312"/>
    </row>
    <row r="1288" spans="6:20" x14ac:dyDescent="0.2">
      <c r="F1288" s="312"/>
      <c r="M1288" s="312"/>
      <c r="T1288" s="312"/>
    </row>
    <row r="1289" spans="6:20" x14ac:dyDescent="0.2">
      <c r="F1289" s="312"/>
      <c r="M1289" s="312"/>
      <c r="T1289" s="312"/>
    </row>
    <row r="1290" spans="6:20" x14ac:dyDescent="0.2">
      <c r="F1290" s="312"/>
      <c r="M1290" s="312"/>
      <c r="T1290" s="312"/>
    </row>
    <row r="1291" spans="6:20" x14ac:dyDescent="0.2">
      <c r="F1291" s="312"/>
      <c r="M1291" s="312"/>
      <c r="T1291" s="312"/>
    </row>
    <row r="1292" spans="6:20" x14ac:dyDescent="0.2">
      <c r="F1292" s="312"/>
      <c r="M1292" s="312"/>
      <c r="T1292" s="312"/>
    </row>
    <row r="1293" spans="6:20" x14ac:dyDescent="0.2">
      <c r="F1293" s="312"/>
      <c r="M1293" s="312"/>
      <c r="T1293" s="312"/>
    </row>
    <row r="1294" spans="6:20" x14ac:dyDescent="0.2">
      <c r="F1294" s="312"/>
      <c r="M1294" s="312"/>
      <c r="T1294" s="312"/>
    </row>
    <row r="1295" spans="6:20" x14ac:dyDescent="0.2">
      <c r="F1295" s="312"/>
      <c r="M1295" s="312"/>
      <c r="T1295" s="312"/>
    </row>
    <row r="1296" spans="6:20" x14ac:dyDescent="0.2">
      <c r="F1296" s="312"/>
      <c r="M1296" s="312"/>
      <c r="T1296" s="312"/>
    </row>
    <row r="1297" spans="6:20" x14ac:dyDescent="0.2">
      <c r="F1297" s="312"/>
      <c r="M1297" s="312"/>
      <c r="T1297" s="312"/>
    </row>
    <row r="1298" spans="6:20" x14ac:dyDescent="0.2">
      <c r="F1298" s="312"/>
      <c r="M1298" s="312"/>
      <c r="T1298" s="312"/>
    </row>
    <row r="1299" spans="6:20" x14ac:dyDescent="0.2">
      <c r="F1299" s="312"/>
      <c r="M1299" s="312"/>
      <c r="T1299" s="312"/>
    </row>
    <row r="1300" spans="6:20" x14ac:dyDescent="0.2">
      <c r="F1300" s="312"/>
      <c r="M1300" s="312"/>
      <c r="T1300" s="312"/>
    </row>
    <row r="1301" spans="6:20" x14ac:dyDescent="0.2">
      <c r="F1301" s="312"/>
      <c r="M1301" s="312"/>
      <c r="T1301" s="312"/>
    </row>
    <row r="1302" spans="6:20" x14ac:dyDescent="0.2">
      <c r="F1302" s="312"/>
      <c r="M1302" s="312"/>
      <c r="T1302" s="312"/>
    </row>
    <row r="1303" spans="6:20" x14ac:dyDescent="0.2">
      <c r="F1303" s="312"/>
      <c r="M1303" s="312"/>
      <c r="T1303" s="312"/>
    </row>
    <row r="1304" spans="6:20" x14ac:dyDescent="0.2">
      <c r="F1304" s="312"/>
      <c r="M1304" s="312"/>
      <c r="T1304" s="312"/>
    </row>
    <row r="1305" spans="6:20" x14ac:dyDescent="0.2">
      <c r="F1305" s="312"/>
      <c r="M1305" s="312"/>
      <c r="T1305" s="312"/>
    </row>
    <row r="1306" spans="6:20" x14ac:dyDescent="0.2">
      <c r="F1306" s="312"/>
      <c r="M1306" s="312"/>
      <c r="T1306" s="312"/>
    </row>
    <row r="1307" spans="6:20" x14ac:dyDescent="0.2">
      <c r="F1307" s="312"/>
      <c r="M1307" s="312"/>
      <c r="T1307" s="312"/>
    </row>
    <row r="1308" spans="6:20" x14ac:dyDescent="0.2">
      <c r="F1308" s="312"/>
      <c r="M1308" s="312"/>
      <c r="T1308" s="312"/>
    </row>
    <row r="1309" spans="6:20" x14ac:dyDescent="0.2">
      <c r="F1309" s="312"/>
      <c r="M1309" s="312"/>
      <c r="T1309" s="312"/>
    </row>
    <row r="1310" spans="6:20" x14ac:dyDescent="0.2">
      <c r="F1310" s="312"/>
      <c r="M1310" s="312"/>
      <c r="T1310" s="312"/>
    </row>
    <row r="1311" spans="6:20" x14ac:dyDescent="0.2">
      <c r="F1311" s="312"/>
      <c r="M1311" s="312"/>
      <c r="T1311" s="312"/>
    </row>
    <row r="1312" spans="6:20" x14ac:dyDescent="0.2">
      <c r="F1312" s="312"/>
      <c r="M1312" s="312"/>
      <c r="T1312" s="312"/>
    </row>
    <row r="1313" spans="6:20" x14ac:dyDescent="0.2">
      <c r="F1313" s="312"/>
      <c r="M1313" s="312"/>
      <c r="T1313" s="312"/>
    </row>
    <row r="1314" spans="6:20" x14ac:dyDescent="0.2">
      <c r="F1314" s="312"/>
      <c r="M1314" s="312"/>
      <c r="T1314" s="312"/>
    </row>
    <row r="1315" spans="6:20" x14ac:dyDescent="0.2">
      <c r="F1315" s="312"/>
      <c r="M1315" s="312"/>
      <c r="T1315" s="312"/>
    </row>
    <row r="1316" spans="6:20" x14ac:dyDescent="0.2">
      <c r="F1316" s="312"/>
      <c r="M1316" s="312"/>
      <c r="T1316" s="312"/>
    </row>
    <row r="1317" spans="6:20" x14ac:dyDescent="0.2">
      <c r="F1317" s="312"/>
      <c r="M1317" s="312"/>
      <c r="T1317" s="312"/>
    </row>
    <row r="1318" spans="6:20" x14ac:dyDescent="0.2">
      <c r="F1318" s="312"/>
      <c r="M1318" s="312"/>
      <c r="T1318" s="312"/>
    </row>
    <row r="1319" spans="6:20" x14ac:dyDescent="0.2">
      <c r="F1319" s="312"/>
      <c r="M1319" s="312"/>
      <c r="T1319" s="312"/>
    </row>
    <row r="1320" spans="6:20" x14ac:dyDescent="0.2">
      <c r="F1320" s="312"/>
      <c r="M1320" s="312"/>
      <c r="T1320" s="312"/>
    </row>
    <row r="1321" spans="6:20" x14ac:dyDescent="0.2">
      <c r="F1321" s="312"/>
      <c r="M1321" s="312"/>
      <c r="T1321" s="312"/>
    </row>
    <row r="1322" spans="6:20" x14ac:dyDescent="0.2">
      <c r="F1322" s="312"/>
      <c r="M1322" s="312"/>
      <c r="T1322" s="312"/>
    </row>
    <row r="1323" spans="6:20" x14ac:dyDescent="0.2">
      <c r="F1323" s="312"/>
      <c r="M1323" s="312"/>
      <c r="T1323" s="312"/>
    </row>
    <row r="1324" spans="6:20" x14ac:dyDescent="0.2">
      <c r="F1324" s="312"/>
      <c r="M1324" s="312"/>
      <c r="T1324" s="312"/>
    </row>
    <row r="1325" spans="6:20" x14ac:dyDescent="0.2">
      <c r="F1325" s="312"/>
      <c r="M1325" s="312"/>
      <c r="T1325" s="312"/>
    </row>
    <row r="1326" spans="6:20" x14ac:dyDescent="0.2">
      <c r="F1326" s="312"/>
      <c r="M1326" s="312"/>
      <c r="T1326" s="312"/>
    </row>
    <row r="1327" spans="6:20" x14ac:dyDescent="0.2">
      <c r="F1327" s="312"/>
      <c r="M1327" s="312"/>
      <c r="T1327" s="312"/>
    </row>
    <row r="1328" spans="6:20" x14ac:dyDescent="0.2">
      <c r="F1328" s="312"/>
      <c r="M1328" s="312"/>
      <c r="T1328" s="312"/>
    </row>
    <row r="1329" spans="6:20" x14ac:dyDescent="0.2">
      <c r="F1329" s="312"/>
      <c r="M1329" s="312"/>
      <c r="T1329" s="312"/>
    </row>
    <row r="1330" spans="6:20" x14ac:dyDescent="0.2">
      <c r="F1330" s="312"/>
      <c r="M1330" s="312"/>
      <c r="T1330" s="312"/>
    </row>
    <row r="1331" spans="6:20" x14ac:dyDescent="0.2">
      <c r="F1331" s="312"/>
      <c r="M1331" s="312"/>
      <c r="T1331" s="312"/>
    </row>
    <row r="1332" spans="6:20" x14ac:dyDescent="0.2">
      <c r="F1332" s="312"/>
      <c r="M1332" s="312"/>
      <c r="T1332" s="312"/>
    </row>
    <row r="1333" spans="6:20" x14ac:dyDescent="0.2">
      <c r="F1333" s="312"/>
      <c r="M1333" s="312"/>
      <c r="T1333" s="312"/>
    </row>
    <row r="1334" spans="6:20" x14ac:dyDescent="0.2">
      <c r="F1334" s="312"/>
      <c r="M1334" s="312"/>
      <c r="T1334" s="312"/>
    </row>
    <row r="1335" spans="6:20" x14ac:dyDescent="0.2">
      <c r="F1335" s="312"/>
      <c r="M1335" s="312"/>
      <c r="T1335" s="312"/>
    </row>
    <row r="1336" spans="6:20" x14ac:dyDescent="0.2">
      <c r="F1336" s="312"/>
      <c r="M1336" s="312"/>
      <c r="T1336" s="312"/>
    </row>
    <row r="1337" spans="6:20" x14ac:dyDescent="0.2">
      <c r="F1337" s="312"/>
      <c r="M1337" s="312"/>
      <c r="T1337" s="312"/>
    </row>
    <row r="1338" spans="6:20" x14ac:dyDescent="0.2">
      <c r="F1338" s="312"/>
      <c r="M1338" s="312"/>
      <c r="T1338" s="312"/>
    </row>
    <row r="1339" spans="6:20" x14ac:dyDescent="0.2">
      <c r="F1339" s="312"/>
      <c r="M1339" s="312"/>
      <c r="T1339" s="312"/>
    </row>
    <row r="1340" spans="6:20" x14ac:dyDescent="0.2">
      <c r="F1340" s="312"/>
      <c r="M1340" s="312"/>
      <c r="T1340" s="312"/>
    </row>
    <row r="1341" spans="6:20" x14ac:dyDescent="0.2">
      <c r="F1341" s="312"/>
      <c r="M1341" s="312"/>
      <c r="T1341" s="312"/>
    </row>
    <row r="1342" spans="6:20" x14ac:dyDescent="0.2">
      <c r="F1342" s="312"/>
      <c r="M1342" s="312"/>
      <c r="T1342" s="312"/>
    </row>
    <row r="1343" spans="6:20" x14ac:dyDescent="0.2">
      <c r="F1343" s="312"/>
      <c r="M1343" s="312"/>
      <c r="T1343" s="312"/>
    </row>
    <row r="1344" spans="6:20" x14ac:dyDescent="0.2">
      <c r="F1344" s="312"/>
      <c r="M1344" s="312"/>
      <c r="T1344" s="312"/>
    </row>
    <row r="1345" spans="6:20" x14ac:dyDescent="0.2">
      <c r="F1345" s="312"/>
      <c r="M1345" s="312"/>
      <c r="T1345" s="312"/>
    </row>
    <row r="1346" spans="6:20" x14ac:dyDescent="0.2">
      <c r="F1346" s="312"/>
      <c r="M1346" s="312"/>
      <c r="T1346" s="312"/>
    </row>
    <row r="1347" spans="6:20" x14ac:dyDescent="0.2">
      <c r="F1347" s="312"/>
      <c r="M1347" s="312"/>
      <c r="T1347" s="312"/>
    </row>
    <row r="1348" spans="6:20" x14ac:dyDescent="0.2">
      <c r="F1348" s="312"/>
      <c r="M1348" s="312"/>
      <c r="T1348" s="312"/>
    </row>
    <row r="1349" spans="6:20" x14ac:dyDescent="0.2">
      <c r="F1349" s="312"/>
      <c r="M1349" s="312"/>
      <c r="T1349" s="312"/>
    </row>
    <row r="1350" spans="6:20" x14ac:dyDescent="0.2">
      <c r="F1350" s="312"/>
      <c r="M1350" s="312"/>
      <c r="T1350" s="312"/>
    </row>
    <row r="1351" spans="6:20" x14ac:dyDescent="0.2">
      <c r="F1351" s="312"/>
      <c r="M1351" s="312"/>
      <c r="T1351" s="312"/>
    </row>
    <row r="1352" spans="6:20" x14ac:dyDescent="0.2">
      <c r="F1352" s="312"/>
      <c r="M1352" s="312"/>
      <c r="T1352" s="312"/>
    </row>
    <row r="1353" spans="6:20" x14ac:dyDescent="0.2">
      <c r="F1353" s="312"/>
      <c r="M1353" s="312"/>
      <c r="T1353" s="312"/>
    </row>
    <row r="1354" spans="6:20" x14ac:dyDescent="0.2">
      <c r="F1354" s="312"/>
      <c r="M1354" s="312"/>
      <c r="T1354" s="312"/>
    </row>
    <row r="1355" spans="6:20" x14ac:dyDescent="0.2">
      <c r="F1355" s="312"/>
      <c r="M1355" s="312"/>
      <c r="T1355" s="312"/>
    </row>
    <row r="1356" spans="6:20" x14ac:dyDescent="0.2">
      <c r="F1356" s="312"/>
      <c r="M1356" s="312"/>
      <c r="T1356" s="312"/>
    </row>
    <row r="1357" spans="6:20" x14ac:dyDescent="0.2">
      <c r="F1357" s="312"/>
      <c r="M1357" s="312"/>
      <c r="T1357" s="312"/>
    </row>
    <row r="1358" spans="6:20" x14ac:dyDescent="0.2">
      <c r="F1358" s="312"/>
      <c r="M1358" s="312"/>
      <c r="T1358" s="312"/>
    </row>
    <row r="1359" spans="6:20" x14ac:dyDescent="0.2">
      <c r="F1359" s="312"/>
      <c r="M1359" s="312"/>
      <c r="T1359" s="312"/>
    </row>
    <row r="1360" spans="6:20" x14ac:dyDescent="0.2">
      <c r="F1360" s="312"/>
      <c r="M1360" s="312"/>
      <c r="T1360" s="312"/>
    </row>
    <row r="1361" spans="6:20" x14ac:dyDescent="0.2">
      <c r="F1361" s="312"/>
      <c r="M1361" s="312"/>
      <c r="T1361" s="312"/>
    </row>
    <row r="1362" spans="6:20" x14ac:dyDescent="0.2">
      <c r="F1362" s="312"/>
      <c r="M1362" s="312"/>
      <c r="T1362" s="312"/>
    </row>
    <row r="1363" spans="6:20" x14ac:dyDescent="0.2">
      <c r="F1363" s="312"/>
      <c r="M1363" s="312"/>
      <c r="T1363" s="312"/>
    </row>
    <row r="1364" spans="6:20" x14ac:dyDescent="0.2">
      <c r="F1364" s="312"/>
      <c r="M1364" s="312"/>
      <c r="T1364" s="312"/>
    </row>
    <row r="1365" spans="6:20" x14ac:dyDescent="0.2">
      <c r="F1365" s="312"/>
      <c r="M1365" s="312"/>
      <c r="T1365" s="312"/>
    </row>
    <row r="1366" spans="6:20" x14ac:dyDescent="0.2">
      <c r="F1366" s="312"/>
      <c r="M1366" s="312"/>
      <c r="T1366" s="312"/>
    </row>
    <row r="1367" spans="6:20" x14ac:dyDescent="0.2">
      <c r="F1367" s="312"/>
      <c r="M1367" s="312"/>
      <c r="T1367" s="312"/>
    </row>
    <row r="1368" spans="6:20" x14ac:dyDescent="0.2">
      <c r="F1368" s="312"/>
      <c r="M1368" s="312"/>
      <c r="T1368" s="312"/>
    </row>
    <row r="1369" spans="6:20" x14ac:dyDescent="0.2">
      <c r="F1369" s="312"/>
      <c r="M1369" s="312"/>
      <c r="T1369" s="312"/>
    </row>
    <row r="1370" spans="6:20" x14ac:dyDescent="0.2">
      <c r="F1370" s="312"/>
      <c r="M1370" s="312"/>
      <c r="T1370" s="312"/>
    </row>
    <row r="1371" spans="6:20" x14ac:dyDescent="0.2">
      <c r="F1371" s="312"/>
      <c r="M1371" s="312"/>
      <c r="T1371" s="312"/>
    </row>
    <row r="1372" spans="6:20" x14ac:dyDescent="0.2">
      <c r="F1372" s="312"/>
      <c r="M1372" s="312"/>
      <c r="T1372" s="312"/>
    </row>
    <row r="1373" spans="6:20" x14ac:dyDescent="0.2">
      <c r="F1373" s="312"/>
      <c r="M1373" s="312"/>
      <c r="T1373" s="312"/>
    </row>
    <row r="1374" spans="6:20" x14ac:dyDescent="0.2">
      <c r="F1374" s="312"/>
      <c r="M1374" s="312"/>
      <c r="T1374" s="312"/>
    </row>
    <row r="1375" spans="6:20" x14ac:dyDescent="0.2">
      <c r="F1375" s="312"/>
      <c r="M1375" s="312"/>
      <c r="T1375" s="312"/>
    </row>
    <row r="1376" spans="6:20" x14ac:dyDescent="0.2">
      <c r="F1376" s="312"/>
      <c r="M1376" s="312"/>
      <c r="T1376" s="312"/>
    </row>
    <row r="1377" spans="6:20" x14ac:dyDescent="0.2">
      <c r="F1377" s="312"/>
      <c r="M1377" s="312"/>
      <c r="T1377" s="312"/>
    </row>
    <row r="1378" spans="6:20" x14ac:dyDescent="0.2">
      <c r="F1378" s="312"/>
      <c r="M1378" s="312"/>
      <c r="T1378" s="312"/>
    </row>
    <row r="1379" spans="6:20" x14ac:dyDescent="0.2">
      <c r="F1379" s="312"/>
      <c r="M1379" s="312"/>
      <c r="T1379" s="312"/>
    </row>
    <row r="1380" spans="6:20" x14ac:dyDescent="0.2">
      <c r="F1380" s="312"/>
      <c r="M1380" s="312"/>
      <c r="T1380" s="312"/>
    </row>
    <row r="1381" spans="6:20" x14ac:dyDescent="0.2">
      <c r="F1381" s="312"/>
      <c r="M1381" s="312"/>
      <c r="T1381" s="312"/>
    </row>
    <row r="1382" spans="6:20" x14ac:dyDescent="0.2">
      <c r="F1382" s="312"/>
      <c r="M1382" s="312"/>
      <c r="T1382" s="312"/>
    </row>
    <row r="1383" spans="6:20" x14ac:dyDescent="0.2">
      <c r="F1383" s="312"/>
      <c r="M1383" s="312"/>
      <c r="T1383" s="312"/>
    </row>
    <row r="1384" spans="6:20" x14ac:dyDescent="0.2">
      <c r="F1384" s="312"/>
      <c r="M1384" s="312"/>
      <c r="T1384" s="312"/>
    </row>
    <row r="1385" spans="6:20" x14ac:dyDescent="0.2">
      <c r="F1385" s="312"/>
      <c r="M1385" s="312"/>
      <c r="T1385" s="312"/>
    </row>
    <row r="1386" spans="6:20" x14ac:dyDescent="0.2">
      <c r="F1386" s="312"/>
      <c r="M1386" s="312"/>
      <c r="T1386" s="312"/>
    </row>
    <row r="1387" spans="6:20" x14ac:dyDescent="0.2">
      <c r="F1387" s="312"/>
      <c r="M1387" s="312"/>
      <c r="T1387" s="312"/>
    </row>
    <row r="1388" spans="6:20" x14ac:dyDescent="0.2">
      <c r="F1388" s="312"/>
      <c r="M1388" s="312"/>
      <c r="T1388" s="312"/>
    </row>
    <row r="1389" spans="6:20" x14ac:dyDescent="0.2">
      <c r="F1389" s="312"/>
      <c r="M1389" s="312"/>
      <c r="T1389" s="312"/>
    </row>
    <row r="1390" spans="6:20" x14ac:dyDescent="0.2">
      <c r="F1390" s="312"/>
      <c r="M1390" s="312"/>
      <c r="T1390" s="312"/>
    </row>
    <row r="1391" spans="6:20" x14ac:dyDescent="0.2">
      <c r="F1391" s="312"/>
      <c r="M1391" s="312"/>
      <c r="T1391" s="312"/>
    </row>
    <row r="1392" spans="6:20" x14ac:dyDescent="0.2">
      <c r="F1392" s="312"/>
      <c r="M1392" s="312"/>
    </row>
    <row r="1393" spans="6:20" x14ac:dyDescent="0.2">
      <c r="F1393" s="312"/>
      <c r="M1393" s="312"/>
    </row>
    <row r="1394" spans="6:20" x14ac:dyDescent="0.2">
      <c r="F1394" s="312"/>
      <c r="M1394" s="312"/>
    </row>
    <row r="1395" spans="6:20" x14ac:dyDescent="0.2">
      <c r="F1395" s="312"/>
      <c r="M1395" s="312"/>
    </row>
    <row r="1396" spans="6:20" x14ac:dyDescent="0.2">
      <c r="F1396" s="312"/>
      <c r="M1396" s="312"/>
    </row>
    <row r="1397" spans="6:20" x14ac:dyDescent="0.2">
      <c r="F1397" s="312"/>
      <c r="M1397" s="312"/>
    </row>
    <row r="1398" spans="6:20" x14ac:dyDescent="0.2">
      <c r="F1398" s="312"/>
      <c r="M1398" s="312"/>
    </row>
    <row r="1399" spans="6:20" x14ac:dyDescent="0.2">
      <c r="F1399" s="312"/>
      <c r="M1399" s="312"/>
      <c r="T1399" s="312"/>
    </row>
    <row r="1400" spans="6:20" x14ac:dyDescent="0.2">
      <c r="F1400" s="312"/>
      <c r="M1400" s="312"/>
      <c r="T1400" s="312"/>
    </row>
    <row r="1401" spans="6:20" x14ac:dyDescent="0.2">
      <c r="F1401" s="312"/>
      <c r="M1401" s="312"/>
      <c r="T1401" s="312"/>
    </row>
    <row r="1402" spans="6:20" x14ac:dyDescent="0.2">
      <c r="F1402" s="312"/>
      <c r="M1402" s="312"/>
      <c r="T1402" s="312"/>
    </row>
    <row r="1403" spans="6:20" x14ac:dyDescent="0.2">
      <c r="F1403" s="312"/>
      <c r="M1403" s="312"/>
      <c r="T1403" s="312"/>
    </row>
    <row r="1404" spans="6:20" x14ac:dyDescent="0.2">
      <c r="F1404" s="312"/>
      <c r="M1404" s="312"/>
      <c r="T1404" s="312"/>
    </row>
    <row r="1405" spans="6:20" x14ac:dyDescent="0.2">
      <c r="F1405" s="312"/>
      <c r="M1405" s="312"/>
      <c r="T1405" s="312"/>
    </row>
    <row r="1406" spans="6:20" x14ac:dyDescent="0.2">
      <c r="F1406" s="312"/>
      <c r="M1406" s="312"/>
      <c r="T1406" s="312"/>
    </row>
    <row r="1407" spans="6:20" x14ac:dyDescent="0.2">
      <c r="F1407" s="312"/>
      <c r="M1407" s="312"/>
      <c r="T1407" s="312"/>
    </row>
    <row r="1408" spans="6:20" x14ac:dyDescent="0.2">
      <c r="F1408" s="312"/>
      <c r="M1408" s="312"/>
      <c r="T1408" s="312"/>
    </row>
    <row r="1409" spans="6:20" x14ac:dyDescent="0.2">
      <c r="F1409" s="312"/>
      <c r="M1409" s="312"/>
      <c r="T1409" s="312"/>
    </row>
    <row r="1410" spans="6:20" x14ac:dyDescent="0.2">
      <c r="F1410" s="312"/>
      <c r="M1410" s="312"/>
      <c r="T1410" s="312"/>
    </row>
    <row r="1411" spans="6:20" x14ac:dyDescent="0.2">
      <c r="F1411" s="312"/>
      <c r="M1411" s="312"/>
      <c r="T1411" s="312"/>
    </row>
    <row r="1412" spans="6:20" x14ac:dyDescent="0.2">
      <c r="F1412" s="312"/>
      <c r="M1412" s="312"/>
      <c r="T1412" s="312"/>
    </row>
    <row r="1413" spans="6:20" x14ac:dyDescent="0.2">
      <c r="F1413" s="312"/>
      <c r="M1413" s="312"/>
      <c r="T1413" s="312"/>
    </row>
    <row r="1414" spans="6:20" x14ac:dyDescent="0.2">
      <c r="F1414" s="312"/>
      <c r="M1414" s="312"/>
      <c r="T1414" s="312"/>
    </row>
    <row r="1415" spans="6:20" x14ac:dyDescent="0.2">
      <c r="F1415" s="312"/>
      <c r="M1415" s="312"/>
      <c r="T1415" s="312"/>
    </row>
    <row r="1416" spans="6:20" x14ac:dyDescent="0.2">
      <c r="F1416" s="312"/>
      <c r="M1416" s="312"/>
      <c r="T1416" s="312"/>
    </row>
    <row r="1417" spans="6:20" x14ac:dyDescent="0.2">
      <c r="F1417" s="312"/>
      <c r="M1417" s="312"/>
      <c r="T1417" s="312"/>
    </row>
    <row r="1418" spans="6:20" x14ac:dyDescent="0.2">
      <c r="F1418" s="312"/>
      <c r="M1418" s="312"/>
      <c r="T1418" s="312"/>
    </row>
    <row r="1419" spans="6:20" x14ac:dyDescent="0.2">
      <c r="F1419" s="312"/>
      <c r="M1419" s="312"/>
      <c r="T1419" s="312"/>
    </row>
    <row r="1420" spans="6:20" x14ac:dyDescent="0.2">
      <c r="F1420" s="312"/>
      <c r="M1420" s="312"/>
      <c r="T1420" s="312"/>
    </row>
    <row r="1421" spans="6:20" x14ac:dyDescent="0.2">
      <c r="F1421" s="312"/>
      <c r="M1421" s="312"/>
      <c r="T1421" s="312"/>
    </row>
    <row r="1422" spans="6:20" x14ac:dyDescent="0.2">
      <c r="F1422" s="312"/>
      <c r="M1422" s="312"/>
      <c r="T1422" s="312"/>
    </row>
    <row r="1423" spans="6:20" x14ac:dyDescent="0.2">
      <c r="F1423" s="312"/>
      <c r="M1423" s="312"/>
      <c r="T1423" s="312"/>
    </row>
    <row r="1424" spans="6:20" x14ac:dyDescent="0.2">
      <c r="F1424" s="312"/>
      <c r="M1424" s="312"/>
      <c r="T1424" s="312"/>
    </row>
    <row r="1425" spans="6:20" x14ac:dyDescent="0.2">
      <c r="F1425" s="312"/>
      <c r="M1425" s="312"/>
      <c r="T1425" s="312"/>
    </row>
    <row r="1426" spans="6:20" x14ac:dyDescent="0.2">
      <c r="F1426" s="312"/>
      <c r="M1426" s="312"/>
      <c r="T1426" s="312"/>
    </row>
    <row r="1427" spans="6:20" x14ac:dyDescent="0.2">
      <c r="F1427" s="312"/>
      <c r="M1427" s="312"/>
      <c r="T1427" s="312"/>
    </row>
    <row r="1428" spans="6:20" x14ac:dyDescent="0.2">
      <c r="F1428" s="312"/>
      <c r="M1428" s="312"/>
      <c r="T1428" s="312"/>
    </row>
    <row r="1429" spans="6:20" x14ac:dyDescent="0.2">
      <c r="F1429" s="312"/>
      <c r="M1429" s="312"/>
      <c r="T1429" s="312"/>
    </row>
    <row r="1430" spans="6:20" x14ac:dyDescent="0.2">
      <c r="F1430" s="312"/>
      <c r="M1430" s="312"/>
      <c r="T1430" s="312"/>
    </row>
    <row r="1431" spans="6:20" x14ac:dyDescent="0.2">
      <c r="F1431" s="312"/>
      <c r="M1431" s="312"/>
      <c r="T1431" s="312"/>
    </row>
    <row r="1432" spans="6:20" x14ac:dyDescent="0.2">
      <c r="F1432" s="312"/>
      <c r="M1432" s="312"/>
      <c r="T1432" s="312"/>
    </row>
    <row r="1433" spans="6:20" x14ac:dyDescent="0.2">
      <c r="F1433" s="312"/>
      <c r="M1433" s="312"/>
      <c r="T1433" s="312"/>
    </row>
    <row r="1434" spans="6:20" x14ac:dyDescent="0.2">
      <c r="F1434" s="312"/>
      <c r="M1434" s="312"/>
      <c r="T1434" s="312"/>
    </row>
    <row r="1435" spans="6:20" x14ac:dyDescent="0.2">
      <c r="F1435" s="312"/>
      <c r="M1435" s="312"/>
      <c r="T1435" s="312"/>
    </row>
    <row r="1436" spans="6:20" x14ac:dyDescent="0.2">
      <c r="F1436" s="312"/>
      <c r="M1436" s="312"/>
      <c r="T1436" s="312"/>
    </row>
    <row r="1437" spans="6:20" x14ac:dyDescent="0.2">
      <c r="F1437" s="312"/>
      <c r="M1437" s="312"/>
      <c r="T1437" s="312"/>
    </row>
    <row r="1438" spans="6:20" x14ac:dyDescent="0.2">
      <c r="F1438" s="312"/>
      <c r="M1438" s="312"/>
      <c r="T1438" s="312"/>
    </row>
    <row r="1439" spans="6:20" x14ac:dyDescent="0.2">
      <c r="F1439" s="312"/>
      <c r="M1439" s="312"/>
      <c r="T1439" s="312"/>
    </row>
    <row r="1440" spans="6:20" x14ac:dyDescent="0.2">
      <c r="F1440" s="312"/>
      <c r="M1440" s="312"/>
      <c r="T1440" s="312"/>
    </row>
    <row r="1441" spans="6:20" x14ac:dyDescent="0.2">
      <c r="F1441" s="312"/>
      <c r="M1441" s="312"/>
      <c r="T1441" s="312"/>
    </row>
    <row r="1442" spans="6:20" x14ac:dyDescent="0.2">
      <c r="F1442" s="312"/>
      <c r="M1442" s="312"/>
      <c r="T1442" s="312"/>
    </row>
    <row r="1443" spans="6:20" x14ac:dyDescent="0.2">
      <c r="F1443" s="312"/>
      <c r="M1443" s="312"/>
      <c r="T1443" s="312"/>
    </row>
    <row r="1444" spans="6:20" x14ac:dyDescent="0.2">
      <c r="F1444" s="312"/>
      <c r="M1444" s="312"/>
      <c r="T1444" s="312"/>
    </row>
    <row r="1445" spans="6:20" x14ac:dyDescent="0.2">
      <c r="F1445" s="312"/>
      <c r="M1445" s="312"/>
      <c r="T1445" s="312"/>
    </row>
    <row r="1446" spans="6:20" x14ac:dyDescent="0.2">
      <c r="F1446" s="312"/>
      <c r="M1446" s="312"/>
      <c r="T1446" s="312"/>
    </row>
    <row r="1447" spans="6:20" x14ac:dyDescent="0.2">
      <c r="F1447" s="312"/>
      <c r="M1447" s="312"/>
      <c r="T1447" s="312"/>
    </row>
    <row r="1448" spans="6:20" x14ac:dyDescent="0.2">
      <c r="F1448" s="312"/>
      <c r="M1448" s="312"/>
      <c r="T1448" s="312"/>
    </row>
    <row r="1449" spans="6:20" x14ac:dyDescent="0.2">
      <c r="F1449" s="312"/>
      <c r="M1449" s="312"/>
      <c r="T1449" s="312"/>
    </row>
    <row r="1450" spans="6:20" x14ac:dyDescent="0.2">
      <c r="F1450" s="312"/>
      <c r="M1450" s="312"/>
      <c r="T1450" s="312"/>
    </row>
    <row r="1451" spans="6:20" x14ac:dyDescent="0.2">
      <c r="F1451" s="312"/>
      <c r="M1451" s="312"/>
      <c r="T1451" s="312"/>
    </row>
    <row r="1452" spans="6:20" x14ac:dyDescent="0.2">
      <c r="F1452" s="312"/>
      <c r="M1452" s="312"/>
      <c r="T1452" s="312"/>
    </row>
    <row r="1453" spans="6:20" x14ac:dyDescent="0.2">
      <c r="F1453" s="312"/>
      <c r="M1453" s="312"/>
      <c r="T1453" s="312"/>
    </row>
    <row r="1454" spans="6:20" x14ac:dyDescent="0.2">
      <c r="F1454" s="312"/>
      <c r="M1454" s="312"/>
      <c r="T1454" s="312"/>
    </row>
    <row r="1455" spans="6:20" x14ac:dyDescent="0.2">
      <c r="F1455" s="312"/>
      <c r="M1455" s="312"/>
      <c r="T1455" s="312"/>
    </row>
    <row r="1456" spans="6:20" x14ac:dyDescent="0.2">
      <c r="F1456" s="312"/>
      <c r="M1456" s="312"/>
      <c r="T1456" s="312"/>
    </row>
    <row r="1457" spans="6:20" x14ac:dyDescent="0.2">
      <c r="F1457" s="312"/>
      <c r="M1457" s="312"/>
      <c r="T1457" s="312"/>
    </row>
    <row r="1458" spans="6:20" x14ac:dyDescent="0.2">
      <c r="F1458" s="312"/>
      <c r="M1458" s="312"/>
      <c r="T1458" s="312"/>
    </row>
    <row r="1459" spans="6:20" x14ac:dyDescent="0.2">
      <c r="F1459" s="312"/>
      <c r="M1459" s="312"/>
      <c r="T1459" s="312"/>
    </row>
    <row r="1460" spans="6:20" x14ac:dyDescent="0.2">
      <c r="F1460" s="312"/>
      <c r="M1460" s="312"/>
      <c r="T1460" s="312"/>
    </row>
    <row r="1461" spans="6:20" x14ac:dyDescent="0.2">
      <c r="F1461" s="312"/>
      <c r="M1461" s="312"/>
      <c r="T1461" s="312"/>
    </row>
    <row r="1462" spans="6:20" x14ac:dyDescent="0.2">
      <c r="F1462" s="312"/>
      <c r="M1462" s="312"/>
      <c r="T1462" s="312"/>
    </row>
    <row r="1463" spans="6:20" x14ac:dyDescent="0.2">
      <c r="F1463" s="312"/>
      <c r="M1463" s="312"/>
      <c r="T1463" s="312"/>
    </row>
    <row r="1464" spans="6:20" x14ac:dyDescent="0.2">
      <c r="F1464" s="312"/>
      <c r="M1464" s="312"/>
      <c r="T1464" s="312"/>
    </row>
    <row r="1465" spans="6:20" x14ac:dyDescent="0.2">
      <c r="F1465" s="312"/>
      <c r="M1465" s="312"/>
      <c r="T1465" s="312"/>
    </row>
    <row r="1466" spans="6:20" x14ac:dyDescent="0.2">
      <c r="F1466" s="312"/>
      <c r="M1466" s="312"/>
      <c r="T1466" s="312"/>
    </row>
    <row r="1467" spans="6:20" x14ac:dyDescent="0.2">
      <c r="F1467" s="312"/>
      <c r="M1467" s="312"/>
      <c r="T1467" s="312"/>
    </row>
    <row r="1468" spans="6:20" x14ac:dyDescent="0.2">
      <c r="F1468" s="312"/>
      <c r="M1468" s="312"/>
      <c r="T1468" s="312"/>
    </row>
    <row r="1469" spans="6:20" x14ac:dyDescent="0.2">
      <c r="F1469" s="312"/>
      <c r="M1469" s="312"/>
      <c r="T1469" s="312"/>
    </row>
    <row r="1470" spans="6:20" x14ac:dyDescent="0.2">
      <c r="F1470" s="312"/>
      <c r="M1470" s="312"/>
      <c r="T1470" s="312"/>
    </row>
    <row r="1471" spans="6:20" x14ac:dyDescent="0.2">
      <c r="F1471" s="312"/>
      <c r="M1471" s="312"/>
      <c r="T1471" s="312"/>
    </row>
    <row r="1472" spans="6:20" x14ac:dyDescent="0.2">
      <c r="F1472" s="312"/>
      <c r="M1472" s="312"/>
      <c r="T1472" s="312"/>
    </row>
    <row r="1473" spans="6:20" x14ac:dyDescent="0.2">
      <c r="F1473" s="312"/>
      <c r="M1473" s="312"/>
      <c r="T1473" s="312"/>
    </row>
    <row r="1474" spans="6:20" x14ac:dyDescent="0.2">
      <c r="F1474" s="312"/>
      <c r="M1474" s="312"/>
      <c r="T1474" s="312"/>
    </row>
    <row r="1475" spans="6:20" x14ac:dyDescent="0.2">
      <c r="F1475" s="312"/>
      <c r="M1475" s="312"/>
      <c r="T1475" s="312"/>
    </row>
    <row r="1476" spans="6:20" x14ac:dyDescent="0.2">
      <c r="F1476" s="312"/>
      <c r="M1476" s="312"/>
      <c r="T1476" s="312"/>
    </row>
    <row r="1477" spans="6:20" x14ac:dyDescent="0.2">
      <c r="F1477" s="312"/>
      <c r="M1477" s="312"/>
      <c r="T1477" s="312"/>
    </row>
    <row r="1478" spans="6:20" x14ac:dyDescent="0.2">
      <c r="F1478" s="312"/>
      <c r="M1478" s="312"/>
      <c r="T1478" s="312"/>
    </row>
    <row r="1479" spans="6:20" x14ac:dyDescent="0.2">
      <c r="F1479" s="312"/>
      <c r="M1479" s="312"/>
      <c r="T1479" s="312"/>
    </row>
    <row r="1480" spans="6:20" x14ac:dyDescent="0.2">
      <c r="F1480" s="312"/>
      <c r="M1480" s="312"/>
      <c r="T1480" s="312"/>
    </row>
    <row r="1481" spans="6:20" x14ac:dyDescent="0.2">
      <c r="F1481" s="312"/>
      <c r="M1481" s="312"/>
      <c r="T1481" s="312"/>
    </row>
    <row r="1482" spans="6:20" x14ac:dyDescent="0.2">
      <c r="F1482" s="312"/>
      <c r="M1482" s="312"/>
      <c r="T1482" s="312"/>
    </row>
    <row r="1483" spans="6:20" x14ac:dyDescent="0.2">
      <c r="F1483" s="312"/>
      <c r="M1483" s="312"/>
      <c r="T1483" s="312"/>
    </row>
    <row r="1484" spans="6:20" x14ac:dyDescent="0.2">
      <c r="F1484" s="312"/>
      <c r="M1484" s="312"/>
      <c r="T1484" s="312"/>
    </row>
    <row r="1485" spans="6:20" x14ac:dyDescent="0.2">
      <c r="F1485" s="312"/>
      <c r="M1485" s="312"/>
      <c r="T1485" s="312"/>
    </row>
    <row r="1486" spans="6:20" x14ac:dyDescent="0.2">
      <c r="F1486" s="312"/>
      <c r="M1486" s="312"/>
      <c r="T1486" s="312"/>
    </row>
    <row r="1487" spans="6:20" x14ac:dyDescent="0.2">
      <c r="F1487" s="312"/>
      <c r="M1487" s="312"/>
      <c r="T1487" s="312"/>
    </row>
    <row r="1488" spans="6:20" x14ac:dyDescent="0.2">
      <c r="F1488" s="312"/>
      <c r="M1488" s="312"/>
      <c r="T1488" s="312"/>
    </row>
    <row r="1489" spans="6:20" x14ac:dyDescent="0.2">
      <c r="F1489" s="312"/>
      <c r="M1489" s="312"/>
      <c r="T1489" s="312"/>
    </row>
    <row r="1490" spans="6:20" x14ac:dyDescent="0.2">
      <c r="F1490" s="312"/>
      <c r="M1490" s="312"/>
      <c r="T1490" s="312"/>
    </row>
    <row r="1491" spans="6:20" x14ac:dyDescent="0.2">
      <c r="F1491" s="312"/>
      <c r="M1491" s="312"/>
      <c r="T1491" s="312"/>
    </row>
    <row r="1492" spans="6:20" x14ac:dyDescent="0.2">
      <c r="F1492" s="312"/>
      <c r="M1492" s="312"/>
      <c r="T1492" s="312"/>
    </row>
    <row r="1493" spans="6:20" x14ac:dyDescent="0.2">
      <c r="F1493" s="312"/>
      <c r="M1493" s="312"/>
      <c r="T1493" s="312"/>
    </row>
    <row r="1494" spans="6:20" x14ac:dyDescent="0.2">
      <c r="F1494" s="312"/>
      <c r="M1494" s="312"/>
      <c r="T1494" s="312"/>
    </row>
    <row r="1495" spans="6:20" x14ac:dyDescent="0.2">
      <c r="F1495" s="312"/>
      <c r="M1495" s="312"/>
      <c r="T1495" s="312"/>
    </row>
    <row r="1496" spans="6:20" x14ac:dyDescent="0.2">
      <c r="F1496" s="312"/>
      <c r="M1496" s="312"/>
      <c r="T1496" s="312"/>
    </row>
    <row r="1497" spans="6:20" x14ac:dyDescent="0.2">
      <c r="F1497" s="312"/>
      <c r="M1497" s="312"/>
      <c r="T1497" s="312"/>
    </row>
    <row r="1498" spans="6:20" x14ac:dyDescent="0.2">
      <c r="F1498" s="312"/>
      <c r="M1498" s="312"/>
      <c r="T1498" s="312"/>
    </row>
    <row r="1499" spans="6:20" x14ac:dyDescent="0.2">
      <c r="F1499" s="312"/>
      <c r="M1499" s="312"/>
      <c r="T1499" s="312"/>
    </row>
    <row r="1500" spans="6:20" x14ac:dyDescent="0.2">
      <c r="F1500" s="312"/>
      <c r="M1500" s="312"/>
      <c r="T1500" s="312"/>
    </row>
    <row r="1501" spans="6:20" x14ac:dyDescent="0.2">
      <c r="F1501" s="312"/>
      <c r="M1501" s="312"/>
      <c r="T1501" s="312"/>
    </row>
    <row r="1502" spans="6:20" x14ac:dyDescent="0.2">
      <c r="F1502" s="312"/>
      <c r="M1502" s="312"/>
      <c r="T1502" s="312"/>
    </row>
    <row r="1503" spans="6:20" x14ac:dyDescent="0.2">
      <c r="F1503" s="312"/>
      <c r="M1503" s="312"/>
      <c r="T1503" s="312"/>
    </row>
    <row r="1504" spans="6:20" x14ac:dyDescent="0.2">
      <c r="F1504" s="312"/>
      <c r="M1504" s="312"/>
      <c r="T1504" s="312"/>
    </row>
    <row r="1505" spans="6:20" x14ac:dyDescent="0.2">
      <c r="F1505" s="312"/>
      <c r="M1505" s="312"/>
      <c r="T1505" s="312"/>
    </row>
    <row r="1506" spans="6:20" x14ac:dyDescent="0.2">
      <c r="F1506" s="312"/>
      <c r="M1506" s="312"/>
      <c r="T1506" s="312"/>
    </row>
    <row r="1507" spans="6:20" x14ac:dyDescent="0.2">
      <c r="F1507" s="312"/>
      <c r="M1507" s="312"/>
      <c r="T1507" s="312"/>
    </row>
    <row r="1508" spans="6:20" x14ac:dyDescent="0.2">
      <c r="F1508" s="312"/>
      <c r="M1508" s="312"/>
      <c r="T1508" s="312"/>
    </row>
    <row r="1509" spans="6:20" x14ac:dyDescent="0.2">
      <c r="F1509" s="312"/>
      <c r="M1509" s="312"/>
      <c r="T1509" s="312"/>
    </row>
    <row r="1510" spans="6:20" x14ac:dyDescent="0.2">
      <c r="F1510" s="312"/>
      <c r="M1510" s="312"/>
      <c r="T1510" s="312"/>
    </row>
    <row r="1511" spans="6:20" x14ac:dyDescent="0.2">
      <c r="F1511" s="312"/>
      <c r="M1511" s="312"/>
      <c r="T1511" s="312"/>
    </row>
    <row r="1512" spans="6:20" x14ac:dyDescent="0.2">
      <c r="F1512" s="312"/>
      <c r="M1512" s="312"/>
      <c r="T1512" s="312"/>
    </row>
    <row r="1513" spans="6:20" x14ac:dyDescent="0.2">
      <c r="F1513" s="312"/>
      <c r="M1513" s="312"/>
      <c r="T1513" s="312"/>
    </row>
    <row r="1514" spans="6:20" x14ac:dyDescent="0.2">
      <c r="F1514" s="312"/>
      <c r="M1514" s="312"/>
      <c r="T1514" s="312"/>
    </row>
    <row r="1515" spans="6:20" x14ac:dyDescent="0.2">
      <c r="F1515" s="312"/>
      <c r="M1515" s="312"/>
      <c r="T1515" s="312"/>
    </row>
    <row r="1516" spans="6:20" x14ac:dyDescent="0.2">
      <c r="F1516" s="312"/>
      <c r="M1516" s="312"/>
      <c r="T1516" s="312"/>
    </row>
    <row r="1517" spans="6:20" x14ac:dyDescent="0.2">
      <c r="F1517" s="312"/>
      <c r="M1517" s="312"/>
      <c r="T1517" s="312"/>
    </row>
    <row r="1518" spans="6:20" x14ac:dyDescent="0.2">
      <c r="F1518" s="312"/>
      <c r="M1518" s="312"/>
      <c r="T1518" s="312"/>
    </row>
    <row r="1519" spans="6:20" x14ac:dyDescent="0.2">
      <c r="F1519" s="312"/>
      <c r="M1519" s="312"/>
      <c r="T1519" s="312"/>
    </row>
    <row r="1520" spans="6:20" x14ac:dyDescent="0.2">
      <c r="F1520" s="312"/>
      <c r="M1520" s="312"/>
      <c r="T1520" s="312"/>
    </row>
    <row r="1521" spans="6:20" x14ac:dyDescent="0.2">
      <c r="F1521" s="312"/>
      <c r="M1521" s="312"/>
      <c r="T1521" s="312"/>
    </row>
    <row r="1522" spans="6:20" x14ac:dyDescent="0.2">
      <c r="F1522" s="312"/>
      <c r="M1522" s="312"/>
      <c r="T1522" s="312"/>
    </row>
    <row r="1523" spans="6:20" x14ac:dyDescent="0.2">
      <c r="F1523" s="312"/>
      <c r="M1523" s="312"/>
      <c r="T1523" s="312"/>
    </row>
    <row r="1524" spans="6:20" x14ac:dyDescent="0.2">
      <c r="F1524" s="312"/>
      <c r="M1524" s="312"/>
      <c r="T1524" s="312"/>
    </row>
    <row r="1525" spans="6:20" x14ac:dyDescent="0.2">
      <c r="F1525" s="312"/>
      <c r="M1525" s="312"/>
      <c r="T1525" s="312"/>
    </row>
    <row r="1526" spans="6:20" x14ac:dyDescent="0.2">
      <c r="F1526" s="312"/>
      <c r="M1526" s="312"/>
      <c r="T1526" s="312"/>
    </row>
    <row r="1527" spans="6:20" x14ac:dyDescent="0.2">
      <c r="F1527" s="312"/>
      <c r="M1527" s="312"/>
      <c r="T1527" s="312"/>
    </row>
    <row r="1528" spans="6:20" x14ac:dyDescent="0.2">
      <c r="F1528" s="312"/>
      <c r="M1528" s="312"/>
      <c r="T1528" s="312"/>
    </row>
    <row r="1529" spans="6:20" x14ac:dyDescent="0.2">
      <c r="F1529" s="312"/>
      <c r="M1529" s="312"/>
      <c r="T1529" s="312"/>
    </row>
    <row r="1530" spans="6:20" x14ac:dyDescent="0.2">
      <c r="F1530" s="312"/>
      <c r="M1530" s="312"/>
      <c r="T1530" s="312"/>
    </row>
    <row r="1531" spans="6:20" x14ac:dyDescent="0.2">
      <c r="F1531" s="312"/>
      <c r="M1531" s="312"/>
      <c r="T1531" s="312"/>
    </row>
    <row r="1532" spans="6:20" x14ac:dyDescent="0.2">
      <c r="F1532" s="312"/>
      <c r="M1532" s="312"/>
      <c r="T1532" s="312"/>
    </row>
    <row r="1533" spans="6:20" x14ac:dyDescent="0.2">
      <c r="F1533" s="312"/>
      <c r="M1533" s="312"/>
      <c r="T1533" s="312"/>
    </row>
    <row r="1534" spans="6:20" x14ac:dyDescent="0.2">
      <c r="F1534" s="312"/>
      <c r="M1534" s="312"/>
      <c r="T1534" s="312"/>
    </row>
    <row r="1535" spans="6:20" x14ac:dyDescent="0.2">
      <c r="F1535" s="312"/>
      <c r="M1535" s="312"/>
      <c r="T1535" s="312"/>
    </row>
    <row r="1536" spans="6:20" x14ac:dyDescent="0.2">
      <c r="F1536" s="312"/>
      <c r="M1536" s="312"/>
      <c r="T1536" s="312"/>
    </row>
    <row r="1537" spans="6:20" x14ac:dyDescent="0.2">
      <c r="F1537" s="312"/>
      <c r="M1537" s="312"/>
      <c r="T1537" s="312"/>
    </row>
    <row r="1538" spans="6:20" x14ac:dyDescent="0.2">
      <c r="F1538" s="312"/>
      <c r="M1538" s="312"/>
      <c r="T1538" s="312"/>
    </row>
    <row r="1539" spans="6:20" x14ac:dyDescent="0.2">
      <c r="F1539" s="312"/>
      <c r="M1539" s="312"/>
      <c r="T1539" s="312"/>
    </row>
    <row r="1540" spans="6:20" x14ac:dyDescent="0.2">
      <c r="F1540" s="312"/>
      <c r="M1540" s="312"/>
      <c r="T1540" s="312"/>
    </row>
    <row r="1541" spans="6:20" x14ac:dyDescent="0.2">
      <c r="F1541" s="312"/>
      <c r="M1541" s="312"/>
      <c r="T1541" s="312"/>
    </row>
    <row r="1542" spans="6:20" x14ac:dyDescent="0.2">
      <c r="F1542" s="312"/>
      <c r="M1542" s="312"/>
      <c r="T1542" s="312"/>
    </row>
    <row r="1543" spans="6:20" x14ac:dyDescent="0.2">
      <c r="F1543" s="312"/>
      <c r="M1543" s="312"/>
      <c r="T1543" s="312"/>
    </row>
    <row r="1544" spans="6:20" x14ac:dyDescent="0.2">
      <c r="F1544" s="312"/>
      <c r="M1544" s="312"/>
      <c r="T1544" s="312"/>
    </row>
    <row r="1545" spans="6:20" x14ac:dyDescent="0.2">
      <c r="F1545" s="312"/>
      <c r="M1545" s="312"/>
      <c r="T1545" s="312"/>
    </row>
    <row r="1546" spans="6:20" x14ac:dyDescent="0.2">
      <c r="F1546" s="312"/>
      <c r="M1546" s="312"/>
      <c r="T1546" s="312"/>
    </row>
    <row r="1547" spans="6:20" x14ac:dyDescent="0.2">
      <c r="F1547" s="312"/>
      <c r="M1547" s="312"/>
      <c r="T1547" s="312"/>
    </row>
    <row r="1548" spans="6:20" x14ac:dyDescent="0.2">
      <c r="F1548" s="312"/>
      <c r="M1548" s="312"/>
      <c r="T1548" s="312"/>
    </row>
    <row r="1549" spans="6:20" x14ac:dyDescent="0.2">
      <c r="F1549" s="312"/>
      <c r="M1549" s="312"/>
      <c r="T1549" s="312"/>
    </row>
    <row r="1550" spans="6:20" x14ac:dyDescent="0.2">
      <c r="F1550" s="312"/>
      <c r="M1550" s="312"/>
      <c r="T1550" s="312"/>
    </row>
    <row r="1551" spans="6:20" x14ac:dyDescent="0.2">
      <c r="F1551" s="312"/>
      <c r="M1551" s="312"/>
      <c r="T1551" s="312"/>
    </row>
    <row r="1552" spans="6:20" x14ac:dyDescent="0.2">
      <c r="F1552" s="312"/>
      <c r="M1552" s="312"/>
      <c r="T1552" s="312"/>
    </row>
    <row r="1553" spans="6:20" x14ac:dyDescent="0.2">
      <c r="F1553" s="312"/>
      <c r="M1553" s="312"/>
      <c r="T1553" s="312"/>
    </row>
    <row r="1554" spans="6:20" x14ac:dyDescent="0.2">
      <c r="F1554" s="312"/>
      <c r="M1554" s="312"/>
      <c r="T1554" s="312"/>
    </row>
    <row r="1555" spans="6:20" x14ac:dyDescent="0.2">
      <c r="F1555" s="312"/>
      <c r="M1555" s="312"/>
      <c r="T1555" s="312"/>
    </row>
    <row r="1556" spans="6:20" x14ac:dyDescent="0.2">
      <c r="F1556" s="312"/>
      <c r="M1556" s="312"/>
      <c r="T1556" s="312"/>
    </row>
    <row r="1557" spans="6:20" x14ac:dyDescent="0.2">
      <c r="F1557" s="312"/>
      <c r="M1557" s="312"/>
      <c r="T1557" s="312"/>
    </row>
    <row r="1558" spans="6:20" x14ac:dyDescent="0.2">
      <c r="F1558" s="312"/>
      <c r="M1558" s="312"/>
      <c r="T1558" s="312"/>
    </row>
    <row r="1559" spans="6:20" x14ac:dyDescent="0.2">
      <c r="F1559" s="312"/>
      <c r="M1559" s="312"/>
      <c r="T1559" s="312"/>
    </row>
    <row r="1560" spans="6:20" x14ac:dyDescent="0.2">
      <c r="F1560" s="312"/>
      <c r="M1560" s="312"/>
      <c r="T1560" s="312"/>
    </row>
    <row r="1561" spans="6:20" x14ac:dyDescent="0.2">
      <c r="F1561" s="312"/>
      <c r="M1561" s="312"/>
      <c r="T1561" s="312"/>
    </row>
    <row r="1562" spans="6:20" x14ac:dyDescent="0.2">
      <c r="F1562" s="312"/>
      <c r="M1562" s="312"/>
      <c r="T1562" s="312"/>
    </row>
    <row r="1563" spans="6:20" x14ac:dyDescent="0.2">
      <c r="F1563" s="312"/>
      <c r="M1563" s="312"/>
      <c r="T1563" s="312"/>
    </row>
    <row r="1564" spans="6:20" x14ac:dyDescent="0.2">
      <c r="F1564" s="312"/>
      <c r="M1564" s="312"/>
      <c r="T1564" s="312"/>
    </row>
    <row r="1565" spans="6:20" x14ac:dyDescent="0.2">
      <c r="F1565" s="312"/>
      <c r="M1565" s="312"/>
      <c r="T1565" s="312"/>
    </row>
    <row r="1566" spans="6:20" x14ac:dyDescent="0.2">
      <c r="F1566" s="312"/>
      <c r="M1566" s="312"/>
      <c r="T1566" s="312"/>
    </row>
    <row r="1567" spans="6:20" x14ac:dyDescent="0.2">
      <c r="F1567" s="312"/>
      <c r="M1567" s="312"/>
      <c r="T1567" s="312"/>
    </row>
    <row r="1568" spans="6:20" x14ac:dyDescent="0.2">
      <c r="F1568" s="312"/>
      <c r="M1568" s="312"/>
      <c r="T1568" s="312"/>
    </row>
    <row r="1569" spans="6:20" x14ac:dyDescent="0.2">
      <c r="F1569" s="312"/>
      <c r="M1569" s="312"/>
      <c r="T1569" s="312"/>
    </row>
    <row r="1570" spans="6:20" x14ac:dyDescent="0.2">
      <c r="F1570" s="312"/>
      <c r="M1570" s="312"/>
      <c r="T1570" s="312"/>
    </row>
    <row r="1571" spans="6:20" x14ac:dyDescent="0.2">
      <c r="F1571" s="312"/>
      <c r="M1571" s="312"/>
      <c r="T1571" s="312"/>
    </row>
    <row r="1572" spans="6:20" x14ac:dyDescent="0.2">
      <c r="F1572" s="312"/>
      <c r="M1572" s="312"/>
      <c r="T1572" s="312"/>
    </row>
    <row r="1573" spans="6:20" x14ac:dyDescent="0.2">
      <c r="F1573" s="312"/>
      <c r="M1573" s="312"/>
      <c r="T1573" s="312"/>
    </row>
    <row r="1574" spans="6:20" x14ac:dyDescent="0.2">
      <c r="F1574" s="312"/>
      <c r="M1574" s="312"/>
      <c r="T1574" s="312"/>
    </row>
    <row r="1575" spans="6:20" x14ac:dyDescent="0.2">
      <c r="F1575" s="312"/>
      <c r="M1575" s="312"/>
      <c r="T1575" s="312"/>
    </row>
    <row r="1576" spans="6:20" x14ac:dyDescent="0.2">
      <c r="F1576" s="312"/>
      <c r="M1576" s="312"/>
      <c r="T1576" s="312"/>
    </row>
    <row r="1577" spans="6:20" x14ac:dyDescent="0.2">
      <c r="F1577" s="312"/>
      <c r="M1577" s="312"/>
      <c r="T1577" s="312"/>
    </row>
    <row r="1578" spans="6:20" x14ac:dyDescent="0.2">
      <c r="F1578" s="312"/>
      <c r="M1578" s="312"/>
      <c r="T1578" s="312"/>
    </row>
    <row r="1579" spans="6:20" x14ac:dyDescent="0.2">
      <c r="F1579" s="312"/>
      <c r="M1579" s="312"/>
      <c r="T1579" s="312"/>
    </row>
    <row r="1580" spans="6:20" x14ac:dyDescent="0.2">
      <c r="F1580" s="312"/>
      <c r="M1580" s="312"/>
      <c r="T1580" s="312"/>
    </row>
    <row r="1581" spans="6:20" x14ac:dyDescent="0.2">
      <c r="F1581" s="312"/>
      <c r="M1581" s="312"/>
      <c r="T1581" s="312"/>
    </row>
    <row r="1582" spans="6:20" x14ac:dyDescent="0.2">
      <c r="F1582" s="312"/>
      <c r="M1582" s="312"/>
      <c r="T1582" s="312"/>
    </row>
    <row r="1583" spans="6:20" x14ac:dyDescent="0.2">
      <c r="F1583" s="312"/>
      <c r="M1583" s="312"/>
      <c r="T1583" s="312"/>
    </row>
    <row r="1584" spans="6:20" x14ac:dyDescent="0.2">
      <c r="F1584" s="312"/>
      <c r="M1584" s="312"/>
      <c r="T1584" s="312"/>
    </row>
    <row r="1585" spans="6:20" x14ac:dyDescent="0.2">
      <c r="F1585" s="312"/>
      <c r="M1585" s="312"/>
      <c r="T1585" s="312"/>
    </row>
    <row r="1586" spans="6:20" x14ac:dyDescent="0.2">
      <c r="F1586" s="312"/>
      <c r="M1586" s="312"/>
      <c r="T1586" s="312"/>
    </row>
    <row r="1587" spans="6:20" x14ac:dyDescent="0.2">
      <c r="F1587" s="312"/>
      <c r="M1587" s="312"/>
      <c r="T1587" s="312"/>
    </row>
    <row r="1588" spans="6:20" x14ac:dyDescent="0.2">
      <c r="F1588" s="312"/>
      <c r="M1588" s="312"/>
      <c r="T1588" s="312"/>
    </row>
    <row r="1589" spans="6:20" x14ac:dyDescent="0.2">
      <c r="F1589" s="312"/>
      <c r="M1589" s="312"/>
      <c r="T1589" s="312"/>
    </row>
    <row r="1590" spans="6:20" x14ac:dyDescent="0.2">
      <c r="F1590" s="312"/>
      <c r="M1590" s="312"/>
      <c r="T1590" s="312"/>
    </row>
    <row r="1591" spans="6:20" x14ac:dyDescent="0.2">
      <c r="F1591" s="312"/>
      <c r="M1591" s="312"/>
      <c r="T1591" s="312"/>
    </row>
    <row r="1592" spans="6:20" x14ac:dyDescent="0.2">
      <c r="F1592" s="312"/>
      <c r="M1592" s="312"/>
      <c r="T1592" s="312"/>
    </row>
    <row r="1593" spans="6:20" x14ac:dyDescent="0.2">
      <c r="F1593" s="312"/>
      <c r="M1593" s="312"/>
      <c r="T1593" s="312"/>
    </row>
    <row r="1594" spans="6:20" x14ac:dyDescent="0.2">
      <c r="F1594" s="312"/>
      <c r="M1594" s="312"/>
      <c r="T1594" s="312"/>
    </row>
    <row r="1595" spans="6:20" x14ac:dyDescent="0.2">
      <c r="F1595" s="312"/>
      <c r="M1595" s="312"/>
      <c r="T1595" s="312"/>
    </row>
    <row r="1596" spans="6:20" x14ac:dyDescent="0.2">
      <c r="F1596" s="312"/>
      <c r="M1596" s="312"/>
      <c r="T1596" s="312"/>
    </row>
    <row r="1597" spans="6:20" x14ac:dyDescent="0.2">
      <c r="F1597" s="312"/>
      <c r="M1597" s="312"/>
      <c r="T1597" s="312"/>
    </row>
    <row r="1598" spans="6:20" x14ac:dyDescent="0.2">
      <c r="F1598" s="312"/>
      <c r="M1598" s="312"/>
      <c r="T1598" s="312"/>
    </row>
    <row r="1599" spans="6:20" x14ac:dyDescent="0.2">
      <c r="F1599" s="312"/>
      <c r="M1599" s="312"/>
      <c r="T1599" s="312"/>
    </row>
    <row r="1600" spans="6:20" x14ac:dyDescent="0.2">
      <c r="F1600" s="312"/>
      <c r="M1600" s="312"/>
      <c r="T1600" s="312"/>
    </row>
    <row r="1601" spans="6:20" x14ac:dyDescent="0.2">
      <c r="F1601" s="312"/>
      <c r="M1601" s="312"/>
      <c r="T1601" s="312"/>
    </row>
    <row r="1602" spans="6:20" x14ac:dyDescent="0.2">
      <c r="F1602" s="312"/>
      <c r="M1602" s="312"/>
      <c r="T1602" s="312"/>
    </row>
    <row r="1603" spans="6:20" x14ac:dyDescent="0.2">
      <c r="F1603" s="312"/>
      <c r="M1603" s="312"/>
      <c r="T1603" s="312"/>
    </row>
    <row r="1604" spans="6:20" x14ac:dyDescent="0.2">
      <c r="F1604" s="312"/>
      <c r="M1604" s="312"/>
      <c r="T1604" s="312"/>
    </row>
    <row r="1605" spans="6:20" x14ac:dyDescent="0.2">
      <c r="F1605" s="312"/>
      <c r="M1605" s="312"/>
      <c r="T1605" s="312"/>
    </row>
    <row r="1606" spans="6:20" x14ac:dyDescent="0.2">
      <c r="F1606" s="312"/>
      <c r="M1606" s="312"/>
      <c r="T1606" s="312"/>
    </row>
    <row r="1607" spans="6:20" x14ac:dyDescent="0.2">
      <c r="F1607" s="312"/>
      <c r="M1607" s="312"/>
      <c r="T1607" s="312"/>
    </row>
    <row r="1608" spans="6:20" x14ac:dyDescent="0.2">
      <c r="F1608" s="312"/>
      <c r="M1608" s="312"/>
      <c r="T1608" s="312"/>
    </row>
    <row r="1609" spans="6:20" x14ac:dyDescent="0.2">
      <c r="F1609" s="312"/>
      <c r="M1609" s="312"/>
      <c r="T1609" s="312"/>
    </row>
    <row r="1610" spans="6:20" x14ac:dyDescent="0.2">
      <c r="F1610" s="312"/>
      <c r="M1610" s="312"/>
      <c r="T1610" s="312"/>
    </row>
    <row r="1611" spans="6:20" x14ac:dyDescent="0.2">
      <c r="F1611" s="312"/>
      <c r="M1611" s="312"/>
      <c r="T1611" s="312"/>
    </row>
    <row r="1612" spans="6:20" x14ac:dyDescent="0.2">
      <c r="F1612" s="312"/>
      <c r="M1612" s="312"/>
      <c r="T1612" s="312"/>
    </row>
    <row r="1613" spans="6:20" x14ac:dyDescent="0.2">
      <c r="F1613" s="312"/>
      <c r="M1613" s="312"/>
      <c r="T1613" s="312"/>
    </row>
    <row r="1614" spans="6:20" x14ac:dyDescent="0.2">
      <c r="F1614" s="312"/>
      <c r="M1614" s="312"/>
      <c r="T1614" s="312"/>
    </row>
    <row r="1615" spans="6:20" x14ac:dyDescent="0.2">
      <c r="F1615" s="312"/>
      <c r="M1615" s="312"/>
      <c r="T1615" s="312"/>
    </row>
    <row r="1616" spans="6:20" x14ac:dyDescent="0.2">
      <c r="F1616" s="312"/>
      <c r="M1616" s="312"/>
      <c r="T1616" s="312"/>
    </row>
    <row r="1617" spans="6:20" x14ac:dyDescent="0.2">
      <c r="F1617" s="312"/>
      <c r="M1617" s="312"/>
      <c r="T1617" s="312"/>
    </row>
    <row r="1618" spans="6:20" x14ac:dyDescent="0.2">
      <c r="F1618" s="312"/>
      <c r="M1618" s="312"/>
      <c r="T1618" s="312"/>
    </row>
    <row r="1619" spans="6:20" x14ac:dyDescent="0.2">
      <c r="F1619" s="312"/>
      <c r="M1619" s="312"/>
      <c r="T1619" s="312"/>
    </row>
    <row r="1620" spans="6:20" x14ac:dyDescent="0.2">
      <c r="F1620" s="312"/>
      <c r="M1620" s="312"/>
      <c r="T1620" s="312"/>
    </row>
    <row r="1621" spans="6:20" x14ac:dyDescent="0.2">
      <c r="F1621" s="312"/>
      <c r="M1621" s="312"/>
      <c r="T1621" s="312"/>
    </row>
    <row r="1622" spans="6:20" x14ac:dyDescent="0.2">
      <c r="F1622" s="312"/>
      <c r="M1622" s="312"/>
      <c r="T1622" s="312"/>
    </row>
    <row r="1623" spans="6:20" x14ac:dyDescent="0.2">
      <c r="F1623" s="312"/>
      <c r="M1623" s="312"/>
      <c r="T1623" s="312"/>
    </row>
    <row r="1624" spans="6:20" x14ac:dyDescent="0.2">
      <c r="F1624" s="312"/>
      <c r="M1624" s="312"/>
      <c r="T1624" s="312"/>
    </row>
    <row r="1625" spans="6:20" x14ac:dyDescent="0.2">
      <c r="F1625" s="312"/>
      <c r="M1625" s="312"/>
      <c r="T1625" s="312"/>
    </row>
    <row r="1626" spans="6:20" x14ac:dyDescent="0.2">
      <c r="F1626" s="312"/>
      <c r="M1626" s="312"/>
      <c r="T1626" s="312"/>
    </row>
    <row r="1627" spans="6:20" x14ac:dyDescent="0.2">
      <c r="F1627" s="312"/>
      <c r="M1627" s="312"/>
      <c r="T1627" s="312"/>
    </row>
    <row r="1628" spans="6:20" x14ac:dyDescent="0.2">
      <c r="F1628" s="312"/>
      <c r="M1628" s="312"/>
      <c r="T1628" s="312"/>
    </row>
    <row r="1629" spans="6:20" x14ac:dyDescent="0.2">
      <c r="F1629" s="312"/>
      <c r="M1629" s="312"/>
      <c r="T1629" s="312"/>
    </row>
    <row r="1630" spans="6:20" x14ac:dyDescent="0.2">
      <c r="F1630" s="312"/>
      <c r="M1630" s="312"/>
      <c r="T1630" s="312"/>
    </row>
    <row r="1631" spans="6:20" x14ac:dyDescent="0.2">
      <c r="F1631" s="312"/>
      <c r="M1631" s="312"/>
      <c r="T1631" s="312"/>
    </row>
    <row r="1632" spans="6:20" x14ac:dyDescent="0.2">
      <c r="F1632" s="312"/>
      <c r="M1632" s="312"/>
      <c r="T1632" s="312"/>
    </row>
    <row r="1633" spans="6:20" x14ac:dyDescent="0.2">
      <c r="F1633" s="312"/>
      <c r="M1633" s="312"/>
      <c r="T1633" s="312"/>
    </row>
    <row r="1634" spans="6:20" x14ac:dyDescent="0.2">
      <c r="F1634" s="312"/>
      <c r="M1634" s="312"/>
      <c r="T1634" s="312"/>
    </row>
    <row r="1635" spans="6:20" x14ac:dyDescent="0.2">
      <c r="F1635" s="312"/>
      <c r="M1635" s="312"/>
      <c r="T1635" s="312"/>
    </row>
    <row r="1636" spans="6:20" x14ac:dyDescent="0.2">
      <c r="F1636" s="312"/>
      <c r="M1636" s="312"/>
      <c r="T1636" s="312"/>
    </row>
    <row r="1637" spans="6:20" x14ac:dyDescent="0.2">
      <c r="F1637" s="312"/>
      <c r="M1637" s="312"/>
      <c r="T1637" s="312"/>
    </row>
    <row r="1638" spans="6:20" x14ac:dyDescent="0.2">
      <c r="F1638" s="312"/>
      <c r="M1638" s="312"/>
      <c r="T1638" s="312"/>
    </row>
    <row r="1639" spans="6:20" x14ac:dyDescent="0.2">
      <c r="F1639" s="312"/>
      <c r="M1639" s="312"/>
      <c r="T1639" s="312"/>
    </row>
    <row r="1640" spans="6:20" x14ac:dyDescent="0.2">
      <c r="F1640" s="312"/>
      <c r="M1640" s="312"/>
      <c r="T1640" s="312"/>
    </row>
    <row r="1641" spans="6:20" x14ac:dyDescent="0.2">
      <c r="F1641" s="312"/>
      <c r="M1641" s="312"/>
      <c r="T1641" s="312"/>
    </row>
    <row r="1642" spans="6:20" x14ac:dyDescent="0.2">
      <c r="F1642" s="312"/>
      <c r="M1642" s="312"/>
      <c r="T1642" s="312"/>
    </row>
    <row r="1643" spans="6:20" x14ac:dyDescent="0.2">
      <c r="F1643" s="312"/>
      <c r="M1643" s="312"/>
      <c r="T1643" s="312"/>
    </row>
    <row r="1644" spans="6:20" x14ac:dyDescent="0.2">
      <c r="F1644" s="312"/>
      <c r="M1644" s="312"/>
      <c r="T1644" s="312"/>
    </row>
    <row r="1645" spans="6:20" x14ac:dyDescent="0.2">
      <c r="F1645" s="312"/>
      <c r="M1645" s="312"/>
      <c r="T1645" s="312"/>
    </row>
    <row r="1646" spans="6:20" x14ac:dyDescent="0.2">
      <c r="F1646" s="312"/>
      <c r="M1646" s="312"/>
      <c r="T1646" s="312"/>
    </row>
    <row r="1647" spans="6:20" x14ac:dyDescent="0.2">
      <c r="F1647" s="312"/>
      <c r="M1647" s="312"/>
      <c r="T1647" s="312"/>
    </row>
    <row r="1648" spans="6:20" x14ac:dyDescent="0.2">
      <c r="F1648" s="312"/>
      <c r="M1648" s="312"/>
      <c r="T1648" s="312"/>
    </row>
    <row r="1649" spans="6:20" x14ac:dyDescent="0.2">
      <c r="F1649" s="312"/>
      <c r="M1649" s="312"/>
      <c r="T1649" s="312"/>
    </row>
    <row r="1650" spans="6:20" x14ac:dyDescent="0.2">
      <c r="F1650" s="312"/>
      <c r="M1650" s="312"/>
      <c r="T1650" s="312"/>
    </row>
    <row r="1651" spans="6:20" x14ac:dyDescent="0.2">
      <c r="F1651" s="312"/>
      <c r="M1651" s="312"/>
      <c r="T1651" s="312"/>
    </row>
    <row r="1652" spans="6:20" x14ac:dyDescent="0.2">
      <c r="F1652" s="312"/>
      <c r="M1652" s="312"/>
      <c r="T1652" s="312"/>
    </row>
    <row r="1653" spans="6:20" x14ac:dyDescent="0.2">
      <c r="F1653" s="312"/>
      <c r="M1653" s="312"/>
      <c r="T1653" s="312"/>
    </row>
    <row r="1654" spans="6:20" x14ac:dyDescent="0.2">
      <c r="F1654" s="312"/>
      <c r="M1654" s="312"/>
      <c r="T1654" s="312"/>
    </row>
    <row r="1655" spans="6:20" x14ac:dyDescent="0.2">
      <c r="F1655" s="312"/>
      <c r="M1655" s="312"/>
      <c r="T1655" s="312"/>
    </row>
    <row r="1656" spans="6:20" x14ac:dyDescent="0.2">
      <c r="F1656" s="312"/>
      <c r="M1656" s="312"/>
      <c r="T1656" s="312"/>
    </row>
    <row r="1657" spans="6:20" x14ac:dyDescent="0.2">
      <c r="F1657" s="312"/>
      <c r="M1657" s="312"/>
      <c r="T1657" s="312"/>
    </row>
    <row r="1658" spans="6:20" x14ac:dyDescent="0.2">
      <c r="F1658" s="312"/>
      <c r="M1658" s="312"/>
      <c r="T1658" s="312"/>
    </row>
    <row r="1659" spans="6:20" x14ac:dyDescent="0.2">
      <c r="F1659" s="312"/>
      <c r="M1659" s="312"/>
      <c r="T1659" s="312"/>
    </row>
    <row r="1660" spans="6:20" x14ac:dyDescent="0.2">
      <c r="F1660" s="312"/>
      <c r="M1660" s="312"/>
      <c r="T1660" s="312"/>
    </row>
    <row r="1661" spans="6:20" x14ac:dyDescent="0.2">
      <c r="F1661" s="312"/>
      <c r="M1661" s="312"/>
      <c r="T1661" s="312"/>
    </row>
    <row r="1669" spans="6:20" x14ac:dyDescent="0.2">
      <c r="F1669" s="312"/>
      <c r="M1669" s="312"/>
      <c r="T1669" s="312"/>
    </row>
    <row r="1670" spans="6:20" x14ac:dyDescent="0.2">
      <c r="F1670" s="312"/>
      <c r="M1670" s="312"/>
      <c r="T1670" s="312"/>
    </row>
    <row r="1671" spans="6:20" x14ac:dyDescent="0.2">
      <c r="F1671" s="312"/>
      <c r="M1671" s="312"/>
      <c r="T1671" s="312"/>
    </row>
    <row r="1672" spans="6:20" x14ac:dyDescent="0.2">
      <c r="F1672" s="312"/>
      <c r="M1672" s="312"/>
      <c r="T1672" s="312"/>
    </row>
    <row r="1673" spans="6:20" x14ac:dyDescent="0.2">
      <c r="F1673" s="312"/>
      <c r="M1673" s="312"/>
      <c r="T1673" s="312"/>
    </row>
    <row r="1674" spans="6:20" x14ac:dyDescent="0.2">
      <c r="F1674" s="312"/>
      <c r="M1674" s="312"/>
      <c r="T1674" s="312"/>
    </row>
    <row r="1675" spans="6:20" x14ac:dyDescent="0.2">
      <c r="F1675" s="312"/>
      <c r="M1675" s="312"/>
      <c r="T1675" s="312"/>
    </row>
    <row r="1676" spans="6:20" x14ac:dyDescent="0.2">
      <c r="F1676" s="312"/>
      <c r="M1676" s="312"/>
      <c r="T1676" s="312"/>
    </row>
    <row r="1677" spans="6:20" x14ac:dyDescent="0.2">
      <c r="F1677" s="312"/>
      <c r="M1677" s="312"/>
      <c r="T1677" s="312"/>
    </row>
    <row r="1678" spans="6:20" x14ac:dyDescent="0.2">
      <c r="F1678" s="312"/>
      <c r="M1678" s="312"/>
      <c r="T1678" s="312"/>
    </row>
    <row r="1679" spans="6:20" x14ac:dyDescent="0.2">
      <c r="F1679" s="312"/>
      <c r="M1679" s="312"/>
      <c r="T1679" s="312"/>
    </row>
    <row r="1680" spans="6:20" x14ac:dyDescent="0.2">
      <c r="F1680" s="312"/>
      <c r="M1680" s="312"/>
      <c r="T1680" s="312"/>
    </row>
    <row r="1681" spans="6:20" x14ac:dyDescent="0.2">
      <c r="F1681" s="312"/>
      <c r="M1681" s="312"/>
      <c r="T1681" s="312"/>
    </row>
    <row r="1682" spans="6:20" x14ac:dyDescent="0.2">
      <c r="F1682" s="312"/>
      <c r="M1682" s="312"/>
      <c r="T1682" s="312"/>
    </row>
    <row r="1683" spans="6:20" x14ac:dyDescent="0.2">
      <c r="F1683" s="312"/>
      <c r="M1683" s="312"/>
      <c r="T1683" s="312"/>
    </row>
    <row r="1684" spans="6:20" x14ac:dyDescent="0.2">
      <c r="F1684" s="312"/>
      <c r="M1684" s="312"/>
      <c r="T1684" s="312"/>
    </row>
    <row r="1685" spans="6:20" x14ac:dyDescent="0.2">
      <c r="F1685" s="312"/>
      <c r="M1685" s="312"/>
      <c r="T1685" s="312"/>
    </row>
    <row r="1686" spans="6:20" x14ac:dyDescent="0.2">
      <c r="F1686" s="312"/>
      <c r="M1686" s="312"/>
      <c r="T1686" s="312"/>
    </row>
    <row r="1687" spans="6:20" x14ac:dyDescent="0.2">
      <c r="F1687" s="312"/>
      <c r="M1687" s="312"/>
      <c r="T1687" s="312"/>
    </row>
    <row r="1688" spans="6:20" x14ac:dyDescent="0.2">
      <c r="F1688" s="312"/>
      <c r="M1688" s="312"/>
      <c r="T1688" s="312"/>
    </row>
    <row r="1689" spans="6:20" x14ac:dyDescent="0.2">
      <c r="F1689" s="312"/>
      <c r="M1689" s="312"/>
      <c r="T1689" s="312"/>
    </row>
    <row r="1690" spans="6:20" x14ac:dyDescent="0.2">
      <c r="F1690" s="312"/>
      <c r="M1690" s="312"/>
      <c r="T1690" s="312"/>
    </row>
    <row r="1691" spans="6:20" x14ac:dyDescent="0.2">
      <c r="F1691" s="312"/>
      <c r="M1691" s="312"/>
      <c r="T1691" s="312"/>
    </row>
    <row r="1692" spans="6:20" x14ac:dyDescent="0.2">
      <c r="F1692" s="312"/>
      <c r="M1692" s="312"/>
      <c r="T1692" s="312"/>
    </row>
    <row r="1693" spans="6:20" x14ac:dyDescent="0.2">
      <c r="F1693" s="312"/>
      <c r="M1693" s="312"/>
      <c r="T1693" s="312"/>
    </row>
    <row r="1694" spans="6:20" x14ac:dyDescent="0.2">
      <c r="F1694" s="312"/>
      <c r="M1694" s="312"/>
      <c r="T1694" s="312"/>
    </row>
    <row r="1695" spans="6:20" x14ac:dyDescent="0.2">
      <c r="F1695" s="312"/>
      <c r="M1695" s="312"/>
      <c r="T1695" s="312"/>
    </row>
    <row r="1696" spans="6:20" x14ac:dyDescent="0.2">
      <c r="F1696" s="312"/>
      <c r="M1696" s="312"/>
      <c r="T1696" s="312"/>
    </row>
    <row r="1697" spans="6:20" x14ac:dyDescent="0.2">
      <c r="F1697" s="312"/>
      <c r="M1697" s="312"/>
      <c r="T1697" s="312"/>
    </row>
    <row r="1698" spans="6:20" x14ac:dyDescent="0.2">
      <c r="F1698" s="312"/>
      <c r="M1698" s="312"/>
      <c r="T1698" s="312"/>
    </row>
    <row r="1699" spans="6:20" x14ac:dyDescent="0.2">
      <c r="F1699" s="312"/>
      <c r="M1699" s="312"/>
      <c r="T1699" s="312"/>
    </row>
    <row r="1700" spans="6:20" x14ac:dyDescent="0.2">
      <c r="F1700" s="312"/>
      <c r="M1700" s="312"/>
      <c r="T1700" s="312"/>
    </row>
    <row r="1701" spans="6:20" x14ac:dyDescent="0.2">
      <c r="F1701" s="312"/>
      <c r="M1701" s="312"/>
      <c r="T1701" s="312"/>
    </row>
    <row r="1702" spans="6:20" x14ac:dyDescent="0.2">
      <c r="F1702" s="312"/>
      <c r="M1702" s="312"/>
      <c r="T1702" s="312"/>
    </row>
    <row r="1703" spans="6:20" x14ac:dyDescent="0.2">
      <c r="F1703" s="312"/>
      <c r="M1703" s="312"/>
      <c r="T1703" s="312"/>
    </row>
    <row r="1704" spans="6:20" x14ac:dyDescent="0.2">
      <c r="F1704" s="312"/>
      <c r="M1704" s="312"/>
      <c r="T1704" s="312"/>
    </row>
    <row r="1705" spans="6:20" x14ac:dyDescent="0.2">
      <c r="F1705" s="312"/>
      <c r="M1705" s="312"/>
      <c r="T1705" s="312"/>
    </row>
    <row r="1706" spans="6:20" x14ac:dyDescent="0.2">
      <c r="F1706" s="312"/>
      <c r="M1706" s="312"/>
      <c r="T1706" s="312"/>
    </row>
    <row r="1707" spans="6:20" x14ac:dyDescent="0.2">
      <c r="F1707" s="312"/>
      <c r="M1707" s="312"/>
      <c r="T1707" s="312"/>
    </row>
    <row r="1708" spans="6:20" x14ac:dyDescent="0.2">
      <c r="F1708" s="312"/>
      <c r="M1708" s="312"/>
      <c r="T1708" s="312"/>
    </row>
    <row r="1709" spans="6:20" x14ac:dyDescent="0.2">
      <c r="F1709" s="312"/>
      <c r="M1709" s="312"/>
      <c r="T1709" s="312"/>
    </row>
    <row r="1710" spans="6:20" x14ac:dyDescent="0.2">
      <c r="F1710" s="312"/>
      <c r="M1710" s="312"/>
      <c r="T1710" s="312"/>
    </row>
    <row r="1711" spans="6:20" x14ac:dyDescent="0.2">
      <c r="F1711" s="312"/>
      <c r="M1711" s="312"/>
      <c r="T1711" s="312"/>
    </row>
    <row r="1712" spans="6:20" x14ac:dyDescent="0.2">
      <c r="F1712" s="312"/>
      <c r="M1712" s="312"/>
      <c r="T1712" s="312"/>
    </row>
    <row r="1713" spans="6:20" x14ac:dyDescent="0.2">
      <c r="F1713" s="312"/>
      <c r="M1713" s="312"/>
      <c r="T1713" s="312"/>
    </row>
    <row r="1714" spans="6:20" x14ac:dyDescent="0.2">
      <c r="F1714" s="312"/>
      <c r="M1714" s="312"/>
      <c r="T1714" s="312"/>
    </row>
    <row r="1715" spans="6:20" x14ac:dyDescent="0.2">
      <c r="F1715" s="312"/>
      <c r="M1715" s="312"/>
      <c r="T1715" s="312"/>
    </row>
    <row r="1716" spans="6:20" x14ac:dyDescent="0.2">
      <c r="F1716" s="312"/>
      <c r="M1716" s="312"/>
      <c r="T1716" s="312"/>
    </row>
    <row r="1717" spans="6:20" x14ac:dyDescent="0.2">
      <c r="F1717" s="312"/>
      <c r="M1717" s="312"/>
      <c r="T1717" s="312"/>
    </row>
    <row r="1718" spans="6:20" x14ac:dyDescent="0.2">
      <c r="F1718" s="312"/>
      <c r="M1718" s="312"/>
      <c r="T1718" s="312"/>
    </row>
    <row r="1719" spans="6:20" x14ac:dyDescent="0.2">
      <c r="F1719" s="312"/>
      <c r="M1719" s="312"/>
      <c r="T1719" s="312"/>
    </row>
    <row r="1720" spans="6:20" x14ac:dyDescent="0.2">
      <c r="F1720" s="312"/>
      <c r="M1720" s="312"/>
      <c r="T1720" s="312"/>
    </row>
    <row r="1721" spans="6:20" x14ac:dyDescent="0.2">
      <c r="F1721" s="312"/>
      <c r="M1721" s="312"/>
      <c r="T1721" s="312"/>
    </row>
    <row r="1722" spans="6:20" x14ac:dyDescent="0.2">
      <c r="F1722" s="312"/>
      <c r="M1722" s="312"/>
      <c r="T1722" s="312"/>
    </row>
    <row r="1723" spans="6:20" x14ac:dyDescent="0.2">
      <c r="F1723" s="312"/>
      <c r="M1723" s="312"/>
      <c r="T1723" s="312"/>
    </row>
    <row r="1724" spans="6:20" x14ac:dyDescent="0.2">
      <c r="F1724" s="312"/>
      <c r="M1724" s="312"/>
      <c r="T1724" s="312"/>
    </row>
    <row r="1725" spans="6:20" x14ac:dyDescent="0.2">
      <c r="F1725" s="312"/>
      <c r="M1725" s="312"/>
      <c r="T1725" s="312"/>
    </row>
    <row r="1726" spans="6:20" x14ac:dyDescent="0.2">
      <c r="F1726" s="312"/>
      <c r="M1726" s="312"/>
      <c r="T1726" s="312"/>
    </row>
    <row r="1727" spans="6:20" x14ac:dyDescent="0.2">
      <c r="F1727" s="312"/>
      <c r="M1727" s="312"/>
      <c r="T1727" s="312"/>
    </row>
    <row r="1728" spans="6:20" x14ac:dyDescent="0.2">
      <c r="F1728" s="312"/>
      <c r="M1728" s="312"/>
      <c r="T1728" s="312"/>
    </row>
    <row r="1729" spans="6:20" x14ac:dyDescent="0.2">
      <c r="F1729" s="312"/>
      <c r="M1729" s="312"/>
      <c r="T1729" s="312"/>
    </row>
    <row r="1730" spans="6:20" x14ac:dyDescent="0.2">
      <c r="F1730" s="312"/>
      <c r="M1730" s="312"/>
      <c r="T1730" s="312"/>
    </row>
    <row r="1731" spans="6:20" x14ac:dyDescent="0.2">
      <c r="F1731" s="312"/>
      <c r="M1731" s="312"/>
      <c r="T1731" s="312"/>
    </row>
    <row r="1732" spans="6:20" x14ac:dyDescent="0.2">
      <c r="F1732" s="312"/>
      <c r="M1732" s="312"/>
      <c r="T1732" s="312"/>
    </row>
    <row r="1733" spans="6:20" x14ac:dyDescent="0.2">
      <c r="F1733" s="312"/>
      <c r="M1733" s="312"/>
      <c r="T1733" s="312"/>
    </row>
    <row r="1734" spans="6:20" x14ac:dyDescent="0.2">
      <c r="F1734" s="312"/>
      <c r="M1734" s="312"/>
      <c r="T1734" s="312"/>
    </row>
    <row r="1735" spans="6:20" x14ac:dyDescent="0.2">
      <c r="F1735" s="312"/>
      <c r="M1735" s="312"/>
      <c r="T1735" s="312"/>
    </row>
    <row r="1736" spans="6:20" x14ac:dyDescent="0.2">
      <c r="F1736" s="312"/>
      <c r="M1736" s="312"/>
      <c r="T1736" s="312"/>
    </row>
    <row r="1737" spans="6:20" x14ac:dyDescent="0.2">
      <c r="F1737" s="312"/>
      <c r="M1737" s="312"/>
      <c r="T1737" s="312"/>
    </row>
    <row r="1738" spans="6:20" x14ac:dyDescent="0.2">
      <c r="F1738" s="312"/>
      <c r="M1738" s="312"/>
      <c r="T1738" s="312"/>
    </row>
    <row r="1739" spans="6:20" x14ac:dyDescent="0.2">
      <c r="F1739" s="312"/>
      <c r="M1739" s="312"/>
      <c r="T1739" s="312"/>
    </row>
    <row r="1740" spans="6:20" x14ac:dyDescent="0.2">
      <c r="F1740" s="312"/>
      <c r="M1740" s="312"/>
      <c r="T1740" s="312"/>
    </row>
    <row r="1741" spans="6:20" x14ac:dyDescent="0.2">
      <c r="F1741" s="312"/>
      <c r="M1741" s="312"/>
      <c r="T1741" s="312"/>
    </row>
    <row r="1742" spans="6:20" x14ac:dyDescent="0.2">
      <c r="F1742" s="312"/>
      <c r="M1742" s="312"/>
      <c r="T1742" s="312"/>
    </row>
    <row r="1743" spans="6:20" x14ac:dyDescent="0.2">
      <c r="F1743" s="312"/>
      <c r="M1743" s="312"/>
      <c r="T1743" s="312"/>
    </row>
    <row r="1744" spans="6:20" x14ac:dyDescent="0.2">
      <c r="F1744" s="312"/>
      <c r="M1744" s="312"/>
      <c r="T1744" s="312"/>
    </row>
    <row r="1745" spans="6:20" x14ac:dyDescent="0.2">
      <c r="F1745" s="312"/>
      <c r="M1745" s="312"/>
      <c r="T1745" s="312"/>
    </row>
    <row r="1746" spans="6:20" x14ac:dyDescent="0.2">
      <c r="F1746" s="312"/>
      <c r="M1746" s="312"/>
      <c r="T1746" s="312"/>
    </row>
    <row r="1747" spans="6:20" x14ac:dyDescent="0.2">
      <c r="F1747" s="312"/>
      <c r="M1747" s="312"/>
      <c r="T1747" s="312"/>
    </row>
    <row r="1748" spans="6:20" x14ac:dyDescent="0.2">
      <c r="F1748" s="312"/>
      <c r="M1748" s="312"/>
      <c r="T1748" s="312"/>
    </row>
    <row r="1749" spans="6:20" x14ac:dyDescent="0.2">
      <c r="F1749" s="312"/>
      <c r="M1749" s="312"/>
      <c r="T1749" s="312"/>
    </row>
    <row r="1750" spans="6:20" x14ac:dyDescent="0.2">
      <c r="F1750" s="312"/>
      <c r="M1750" s="312"/>
      <c r="T1750" s="312"/>
    </row>
    <row r="1751" spans="6:20" x14ac:dyDescent="0.2">
      <c r="F1751" s="312"/>
      <c r="M1751" s="312"/>
      <c r="T1751" s="312"/>
    </row>
    <row r="1752" spans="6:20" x14ac:dyDescent="0.2">
      <c r="F1752" s="312"/>
      <c r="M1752" s="312"/>
      <c r="T1752" s="312"/>
    </row>
    <row r="1753" spans="6:20" x14ac:dyDescent="0.2">
      <c r="F1753" s="312"/>
      <c r="M1753" s="312"/>
      <c r="T1753" s="312"/>
    </row>
    <row r="1754" spans="6:20" x14ac:dyDescent="0.2">
      <c r="F1754" s="312"/>
      <c r="M1754" s="312"/>
      <c r="T1754" s="312"/>
    </row>
    <row r="1755" spans="6:20" x14ac:dyDescent="0.2">
      <c r="F1755" s="312"/>
      <c r="M1755" s="312"/>
      <c r="T1755" s="312"/>
    </row>
    <row r="1756" spans="6:20" x14ac:dyDescent="0.2">
      <c r="F1756" s="312"/>
      <c r="M1756" s="312"/>
      <c r="T1756" s="312"/>
    </row>
    <row r="1757" spans="6:20" x14ac:dyDescent="0.2">
      <c r="F1757" s="312"/>
      <c r="M1757" s="312"/>
      <c r="T1757" s="312"/>
    </row>
    <row r="1758" spans="6:20" x14ac:dyDescent="0.2">
      <c r="F1758" s="312"/>
      <c r="M1758" s="312"/>
      <c r="T1758" s="312"/>
    </row>
    <row r="1759" spans="6:20" x14ac:dyDescent="0.2">
      <c r="F1759" s="312"/>
      <c r="M1759" s="312"/>
      <c r="T1759" s="312"/>
    </row>
    <row r="1760" spans="6:20" x14ac:dyDescent="0.2">
      <c r="F1760" s="312"/>
      <c r="M1760" s="312"/>
      <c r="T1760" s="312"/>
    </row>
    <row r="1761" spans="6:20" x14ac:dyDescent="0.2">
      <c r="F1761" s="312"/>
      <c r="M1761" s="312"/>
      <c r="T1761" s="312"/>
    </row>
    <row r="1762" spans="6:20" x14ac:dyDescent="0.2">
      <c r="F1762" s="312"/>
      <c r="M1762" s="312"/>
      <c r="T1762" s="312"/>
    </row>
    <row r="1763" spans="6:20" x14ac:dyDescent="0.2">
      <c r="F1763" s="312"/>
      <c r="M1763" s="312"/>
      <c r="T1763" s="312"/>
    </row>
    <row r="1764" spans="6:20" x14ac:dyDescent="0.2">
      <c r="F1764" s="312"/>
      <c r="M1764" s="312"/>
      <c r="T1764" s="312"/>
    </row>
    <row r="1765" spans="6:20" x14ac:dyDescent="0.2">
      <c r="F1765" s="312"/>
      <c r="M1765" s="312"/>
      <c r="T1765" s="312"/>
    </row>
    <row r="1766" spans="6:20" x14ac:dyDescent="0.2">
      <c r="F1766" s="312"/>
      <c r="M1766" s="312"/>
      <c r="T1766" s="312"/>
    </row>
    <row r="1767" spans="6:20" x14ac:dyDescent="0.2">
      <c r="F1767" s="312"/>
      <c r="M1767" s="312"/>
      <c r="T1767" s="312"/>
    </row>
    <row r="1768" spans="6:20" x14ac:dyDescent="0.2">
      <c r="F1768" s="312"/>
      <c r="M1768" s="312"/>
      <c r="T1768" s="312"/>
    </row>
    <row r="1769" spans="6:20" x14ac:dyDescent="0.2">
      <c r="F1769" s="312"/>
      <c r="M1769" s="312"/>
      <c r="T1769" s="312"/>
    </row>
    <row r="1770" spans="6:20" x14ac:dyDescent="0.2">
      <c r="F1770" s="312"/>
      <c r="M1770" s="312"/>
      <c r="T1770" s="312"/>
    </row>
    <row r="1771" spans="6:20" x14ac:dyDescent="0.2">
      <c r="F1771" s="312"/>
      <c r="M1771" s="312"/>
      <c r="T1771" s="312"/>
    </row>
    <row r="1772" spans="6:20" x14ac:dyDescent="0.2">
      <c r="F1772" s="312"/>
      <c r="M1772" s="312"/>
      <c r="T1772" s="312"/>
    </row>
    <row r="1773" spans="6:20" x14ac:dyDescent="0.2">
      <c r="F1773" s="312"/>
      <c r="M1773" s="312"/>
      <c r="T1773" s="312"/>
    </row>
    <row r="1774" spans="6:20" x14ac:dyDescent="0.2">
      <c r="F1774" s="312"/>
      <c r="M1774" s="312"/>
      <c r="T1774" s="312"/>
    </row>
    <row r="1775" spans="6:20" x14ac:dyDescent="0.2">
      <c r="F1775" s="312"/>
      <c r="M1775" s="312"/>
      <c r="T1775" s="312"/>
    </row>
    <row r="1776" spans="6:20" x14ac:dyDescent="0.2">
      <c r="F1776" s="312"/>
      <c r="M1776" s="312"/>
      <c r="T1776" s="312"/>
    </row>
    <row r="1777" spans="6:20" x14ac:dyDescent="0.2">
      <c r="F1777" s="312"/>
      <c r="M1777" s="312"/>
      <c r="T1777" s="312"/>
    </row>
    <row r="1778" spans="6:20" x14ac:dyDescent="0.2">
      <c r="F1778" s="312"/>
      <c r="M1778" s="312"/>
      <c r="T1778" s="312"/>
    </row>
    <row r="1779" spans="6:20" x14ac:dyDescent="0.2">
      <c r="F1779" s="312"/>
      <c r="M1779" s="312"/>
      <c r="T1779" s="312"/>
    </row>
    <row r="1780" spans="6:20" x14ac:dyDescent="0.2">
      <c r="F1780" s="312"/>
      <c r="M1780" s="312"/>
      <c r="T1780" s="312"/>
    </row>
    <row r="1781" spans="6:20" x14ac:dyDescent="0.2">
      <c r="F1781" s="312"/>
      <c r="M1781" s="312"/>
      <c r="T1781" s="312"/>
    </row>
    <row r="1782" spans="6:20" x14ac:dyDescent="0.2">
      <c r="F1782" s="312"/>
      <c r="M1782" s="312"/>
      <c r="T1782" s="312"/>
    </row>
    <row r="1783" spans="6:20" x14ac:dyDescent="0.2">
      <c r="F1783" s="312"/>
      <c r="M1783" s="312"/>
      <c r="T1783" s="312"/>
    </row>
    <row r="1784" spans="6:20" x14ac:dyDescent="0.2">
      <c r="F1784" s="312"/>
      <c r="M1784" s="312"/>
      <c r="T1784" s="312"/>
    </row>
    <row r="1785" spans="6:20" x14ac:dyDescent="0.2">
      <c r="F1785" s="312"/>
      <c r="M1785" s="312"/>
      <c r="T1785" s="312"/>
    </row>
    <row r="1786" spans="6:20" x14ac:dyDescent="0.2">
      <c r="F1786" s="312"/>
      <c r="M1786" s="312"/>
      <c r="T1786" s="312"/>
    </row>
    <row r="1787" spans="6:20" x14ac:dyDescent="0.2">
      <c r="F1787" s="312"/>
      <c r="M1787" s="312"/>
      <c r="T1787" s="312"/>
    </row>
    <row r="1788" spans="6:20" x14ac:dyDescent="0.2">
      <c r="F1788" s="312"/>
      <c r="M1788" s="312"/>
      <c r="T1788" s="312"/>
    </row>
    <row r="1789" spans="6:20" x14ac:dyDescent="0.2">
      <c r="F1789" s="312"/>
      <c r="M1789" s="312"/>
      <c r="T1789" s="312"/>
    </row>
    <row r="1790" spans="6:20" x14ac:dyDescent="0.2">
      <c r="F1790" s="312"/>
      <c r="M1790" s="312"/>
      <c r="T1790" s="312"/>
    </row>
    <row r="1791" spans="6:20" x14ac:dyDescent="0.2">
      <c r="F1791" s="312"/>
      <c r="M1791" s="312"/>
      <c r="T1791" s="312"/>
    </row>
    <row r="1792" spans="6:20" x14ac:dyDescent="0.2">
      <c r="F1792" s="312"/>
      <c r="M1792" s="312"/>
      <c r="T1792" s="312"/>
    </row>
    <row r="1793" spans="6:20" x14ac:dyDescent="0.2">
      <c r="F1793" s="312"/>
      <c r="M1793" s="312"/>
      <c r="T1793" s="312"/>
    </row>
    <row r="1794" spans="6:20" x14ac:dyDescent="0.2">
      <c r="F1794" s="312"/>
      <c r="M1794" s="312"/>
      <c r="T1794" s="312"/>
    </row>
    <row r="1795" spans="6:20" x14ac:dyDescent="0.2">
      <c r="F1795" s="312"/>
      <c r="M1795" s="312"/>
      <c r="T1795" s="312"/>
    </row>
    <row r="1796" spans="6:20" x14ac:dyDescent="0.2">
      <c r="F1796" s="312"/>
      <c r="M1796" s="312"/>
      <c r="T1796" s="312"/>
    </row>
    <row r="1797" spans="6:20" x14ac:dyDescent="0.2">
      <c r="F1797" s="312"/>
      <c r="M1797" s="312"/>
      <c r="T1797" s="312"/>
    </row>
    <row r="1798" spans="6:20" x14ac:dyDescent="0.2">
      <c r="F1798" s="312"/>
      <c r="M1798" s="312"/>
      <c r="T1798" s="312"/>
    </row>
    <row r="1799" spans="6:20" x14ac:dyDescent="0.2">
      <c r="F1799" s="312"/>
      <c r="M1799" s="312"/>
      <c r="T1799" s="312"/>
    </row>
    <row r="1800" spans="6:20" x14ac:dyDescent="0.2">
      <c r="F1800" s="312"/>
      <c r="M1800" s="312"/>
      <c r="T1800" s="312"/>
    </row>
    <row r="1801" spans="6:20" x14ac:dyDescent="0.2">
      <c r="F1801" s="312"/>
      <c r="M1801" s="312"/>
      <c r="T1801" s="312"/>
    </row>
    <row r="1802" spans="6:20" x14ac:dyDescent="0.2">
      <c r="F1802" s="312"/>
      <c r="M1802" s="312"/>
      <c r="T1802" s="312"/>
    </row>
    <row r="1803" spans="6:20" x14ac:dyDescent="0.2">
      <c r="F1803" s="312"/>
      <c r="M1803" s="312"/>
      <c r="T1803" s="312"/>
    </row>
    <row r="1804" spans="6:20" x14ac:dyDescent="0.2">
      <c r="F1804" s="312"/>
      <c r="M1804" s="312"/>
      <c r="T1804" s="312"/>
    </row>
    <row r="1805" spans="6:20" x14ac:dyDescent="0.2">
      <c r="F1805" s="312"/>
      <c r="M1805" s="312"/>
      <c r="T1805" s="312"/>
    </row>
    <row r="1806" spans="6:20" x14ac:dyDescent="0.2">
      <c r="F1806" s="312"/>
      <c r="M1806" s="312"/>
      <c r="T1806" s="312"/>
    </row>
    <row r="1807" spans="6:20" x14ac:dyDescent="0.2">
      <c r="F1807" s="312"/>
      <c r="M1807" s="312"/>
      <c r="T1807" s="312"/>
    </row>
    <row r="1808" spans="6:20" x14ac:dyDescent="0.2">
      <c r="F1808" s="312"/>
      <c r="M1808" s="312"/>
      <c r="T1808" s="312"/>
    </row>
    <row r="1809" spans="6:20" x14ac:dyDescent="0.2">
      <c r="F1809" s="312"/>
      <c r="M1809" s="312"/>
      <c r="T1809" s="312"/>
    </row>
    <row r="1810" spans="6:20" x14ac:dyDescent="0.2">
      <c r="F1810" s="312"/>
      <c r="M1810" s="312"/>
      <c r="T1810" s="312"/>
    </row>
    <row r="1811" spans="6:20" x14ac:dyDescent="0.2">
      <c r="F1811" s="312"/>
      <c r="M1811" s="312"/>
      <c r="T1811" s="312"/>
    </row>
    <row r="1812" spans="6:20" x14ac:dyDescent="0.2">
      <c r="F1812" s="312"/>
      <c r="M1812" s="312"/>
      <c r="T1812" s="312"/>
    </row>
    <row r="1813" spans="6:20" x14ac:dyDescent="0.2">
      <c r="F1813" s="312"/>
      <c r="M1813" s="312"/>
      <c r="T1813" s="312"/>
    </row>
    <row r="1814" spans="6:20" x14ac:dyDescent="0.2">
      <c r="F1814" s="312"/>
      <c r="M1814" s="312"/>
      <c r="T1814" s="312"/>
    </row>
    <row r="1815" spans="6:20" x14ac:dyDescent="0.2">
      <c r="F1815" s="312"/>
      <c r="M1815" s="312"/>
      <c r="T1815" s="312"/>
    </row>
    <row r="1816" spans="6:20" x14ac:dyDescent="0.2">
      <c r="F1816" s="312"/>
      <c r="M1816" s="312"/>
      <c r="T1816" s="312"/>
    </row>
    <row r="1817" spans="6:20" x14ac:dyDescent="0.2">
      <c r="F1817" s="312"/>
      <c r="M1817" s="312"/>
      <c r="T1817" s="312"/>
    </row>
    <row r="1818" spans="6:20" x14ac:dyDescent="0.2">
      <c r="F1818" s="312"/>
      <c r="M1818" s="312"/>
      <c r="T1818" s="312"/>
    </row>
    <row r="1819" spans="6:20" x14ac:dyDescent="0.2">
      <c r="F1819" s="312"/>
      <c r="M1819" s="312"/>
      <c r="T1819" s="312"/>
    </row>
    <row r="1820" spans="6:20" x14ac:dyDescent="0.2">
      <c r="F1820" s="312"/>
      <c r="M1820" s="312"/>
      <c r="T1820" s="312"/>
    </row>
    <row r="1821" spans="6:20" x14ac:dyDescent="0.2">
      <c r="F1821" s="312"/>
      <c r="M1821" s="312"/>
      <c r="T1821" s="312"/>
    </row>
    <row r="1822" spans="6:20" x14ac:dyDescent="0.2">
      <c r="F1822" s="312"/>
      <c r="M1822" s="312"/>
      <c r="T1822" s="312"/>
    </row>
    <row r="1823" spans="6:20" x14ac:dyDescent="0.2">
      <c r="F1823" s="312"/>
      <c r="M1823" s="312"/>
      <c r="T1823" s="312"/>
    </row>
    <row r="1824" spans="6:20" x14ac:dyDescent="0.2">
      <c r="F1824" s="312"/>
      <c r="M1824" s="312"/>
      <c r="T1824" s="312"/>
    </row>
    <row r="1825" spans="6:20" x14ac:dyDescent="0.2">
      <c r="F1825" s="312"/>
      <c r="M1825" s="312"/>
      <c r="T1825" s="312"/>
    </row>
    <row r="1826" spans="6:20" x14ac:dyDescent="0.2">
      <c r="F1826" s="312"/>
      <c r="M1826" s="312"/>
      <c r="T1826" s="312"/>
    </row>
    <row r="1827" spans="6:20" x14ac:dyDescent="0.2">
      <c r="F1827" s="312"/>
      <c r="M1827" s="312"/>
      <c r="T1827" s="312"/>
    </row>
    <row r="1828" spans="6:20" x14ac:dyDescent="0.2">
      <c r="F1828" s="312"/>
      <c r="M1828" s="312"/>
      <c r="T1828" s="312"/>
    </row>
    <row r="1829" spans="6:20" x14ac:dyDescent="0.2">
      <c r="F1829" s="312"/>
      <c r="M1829" s="312"/>
    </row>
    <row r="1830" spans="6:20" x14ac:dyDescent="0.2">
      <c r="F1830" s="312"/>
      <c r="M1830" s="312"/>
    </row>
    <row r="1831" spans="6:20" x14ac:dyDescent="0.2">
      <c r="F1831" s="312"/>
      <c r="M1831" s="312"/>
    </row>
    <row r="1832" spans="6:20" x14ac:dyDescent="0.2">
      <c r="F1832" s="312"/>
      <c r="M1832" s="312"/>
    </row>
    <row r="1833" spans="6:20" x14ac:dyDescent="0.2">
      <c r="F1833" s="312"/>
      <c r="M1833" s="312"/>
    </row>
    <row r="1834" spans="6:20" x14ac:dyDescent="0.2">
      <c r="F1834" s="312"/>
      <c r="M1834" s="312"/>
      <c r="T1834" s="312"/>
    </row>
    <row r="1835" spans="6:20" x14ac:dyDescent="0.2">
      <c r="F1835" s="312"/>
      <c r="M1835" s="312"/>
      <c r="T1835" s="312"/>
    </row>
    <row r="1836" spans="6:20" x14ac:dyDescent="0.2">
      <c r="F1836" s="312"/>
      <c r="M1836" s="312"/>
      <c r="T1836" s="312"/>
    </row>
    <row r="1837" spans="6:20" x14ac:dyDescent="0.2">
      <c r="F1837" s="312"/>
      <c r="M1837" s="312"/>
      <c r="T1837" s="312"/>
    </row>
    <row r="1838" spans="6:20" x14ac:dyDescent="0.2">
      <c r="F1838" s="312"/>
      <c r="M1838" s="312"/>
      <c r="T1838" s="312"/>
    </row>
    <row r="1839" spans="6:20" x14ac:dyDescent="0.2">
      <c r="F1839" s="312"/>
      <c r="M1839" s="312"/>
      <c r="T1839" s="312"/>
    </row>
    <row r="1840" spans="6:20" x14ac:dyDescent="0.2">
      <c r="F1840" s="312"/>
      <c r="M1840" s="312"/>
      <c r="T1840" s="312"/>
    </row>
    <row r="1841" spans="6:20" x14ac:dyDescent="0.2">
      <c r="F1841" s="312"/>
      <c r="M1841" s="312"/>
      <c r="T1841" s="312"/>
    </row>
    <row r="1842" spans="6:20" x14ac:dyDescent="0.2">
      <c r="F1842" s="312"/>
      <c r="M1842" s="312"/>
      <c r="T1842" s="312"/>
    </row>
    <row r="1843" spans="6:20" x14ac:dyDescent="0.2">
      <c r="F1843" s="312"/>
      <c r="M1843" s="312"/>
      <c r="T1843" s="312"/>
    </row>
    <row r="1844" spans="6:20" x14ac:dyDescent="0.2">
      <c r="F1844" s="312"/>
      <c r="M1844" s="312"/>
      <c r="T1844" s="312"/>
    </row>
    <row r="1845" spans="6:20" x14ac:dyDescent="0.2">
      <c r="F1845" s="312"/>
      <c r="M1845" s="312"/>
      <c r="T1845" s="312"/>
    </row>
    <row r="1846" spans="6:20" x14ac:dyDescent="0.2">
      <c r="F1846" s="312"/>
      <c r="M1846" s="312"/>
      <c r="T1846" s="312"/>
    </row>
    <row r="1847" spans="6:20" x14ac:dyDescent="0.2">
      <c r="F1847" s="312"/>
      <c r="M1847" s="312"/>
      <c r="T1847" s="312"/>
    </row>
    <row r="1848" spans="6:20" x14ac:dyDescent="0.2">
      <c r="F1848" s="312"/>
      <c r="M1848" s="312"/>
      <c r="T1848" s="312"/>
    </row>
    <row r="1849" spans="6:20" x14ac:dyDescent="0.2">
      <c r="F1849" s="312"/>
      <c r="M1849" s="312"/>
      <c r="T1849" s="312"/>
    </row>
    <row r="1850" spans="6:20" x14ac:dyDescent="0.2">
      <c r="F1850" s="312"/>
      <c r="M1850" s="312"/>
      <c r="T1850" s="312"/>
    </row>
    <row r="1851" spans="6:20" x14ac:dyDescent="0.2">
      <c r="F1851" s="312"/>
      <c r="M1851" s="312"/>
      <c r="T1851" s="312"/>
    </row>
    <row r="1852" spans="6:20" x14ac:dyDescent="0.2">
      <c r="F1852" s="312"/>
      <c r="M1852" s="312"/>
      <c r="T1852" s="312"/>
    </row>
    <row r="1853" spans="6:20" x14ac:dyDescent="0.2">
      <c r="F1853" s="312"/>
      <c r="M1853" s="312"/>
      <c r="T1853" s="312"/>
    </row>
    <row r="1854" spans="6:20" x14ac:dyDescent="0.2">
      <c r="F1854" s="312"/>
      <c r="M1854" s="312"/>
      <c r="T1854" s="312"/>
    </row>
    <row r="1855" spans="6:20" x14ac:dyDescent="0.2">
      <c r="F1855" s="312"/>
      <c r="M1855" s="312"/>
      <c r="T1855" s="312"/>
    </row>
    <row r="1856" spans="6:20" x14ac:dyDescent="0.2">
      <c r="F1856" s="312"/>
      <c r="M1856" s="312"/>
      <c r="T1856" s="312"/>
    </row>
    <row r="1857" spans="6:20" x14ac:dyDescent="0.2">
      <c r="F1857" s="312"/>
      <c r="M1857" s="312"/>
      <c r="T1857" s="312"/>
    </row>
    <row r="1858" spans="6:20" x14ac:dyDescent="0.2">
      <c r="F1858" s="312"/>
      <c r="M1858" s="312"/>
      <c r="T1858" s="312"/>
    </row>
    <row r="1859" spans="6:20" x14ac:dyDescent="0.2">
      <c r="F1859" s="312"/>
      <c r="M1859" s="312"/>
      <c r="T1859" s="312"/>
    </row>
    <row r="1860" spans="6:20" x14ac:dyDescent="0.2">
      <c r="F1860" s="312"/>
      <c r="M1860" s="312"/>
      <c r="T1860" s="312"/>
    </row>
    <row r="1861" spans="6:20" x14ac:dyDescent="0.2">
      <c r="F1861" s="312"/>
      <c r="M1861" s="312"/>
      <c r="T1861" s="312"/>
    </row>
    <row r="1862" spans="6:20" x14ac:dyDescent="0.2">
      <c r="F1862" s="312"/>
      <c r="M1862" s="312"/>
      <c r="T1862" s="312"/>
    </row>
    <row r="1863" spans="6:20" x14ac:dyDescent="0.2">
      <c r="F1863" s="312"/>
      <c r="M1863" s="312"/>
      <c r="T1863" s="312"/>
    </row>
    <row r="1864" spans="6:20" x14ac:dyDescent="0.2">
      <c r="F1864" s="312"/>
      <c r="M1864" s="312"/>
      <c r="T1864" s="312"/>
    </row>
    <row r="1865" spans="6:20" x14ac:dyDescent="0.2">
      <c r="F1865" s="312"/>
      <c r="M1865" s="312"/>
      <c r="T1865" s="312"/>
    </row>
    <row r="1866" spans="6:20" x14ac:dyDescent="0.2">
      <c r="F1866" s="312"/>
      <c r="M1866" s="312"/>
      <c r="T1866" s="312"/>
    </row>
    <row r="1867" spans="6:20" x14ac:dyDescent="0.2">
      <c r="F1867" s="312"/>
      <c r="M1867" s="312"/>
      <c r="T1867" s="312"/>
    </row>
    <row r="1868" spans="6:20" x14ac:dyDescent="0.2">
      <c r="F1868" s="312"/>
      <c r="M1868" s="312"/>
      <c r="T1868" s="312"/>
    </row>
    <row r="1869" spans="6:20" x14ac:dyDescent="0.2">
      <c r="F1869" s="312"/>
      <c r="M1869" s="312"/>
      <c r="T1869" s="312"/>
    </row>
    <row r="1870" spans="6:20" x14ac:dyDescent="0.2">
      <c r="F1870" s="312"/>
      <c r="M1870" s="312"/>
      <c r="T1870" s="312"/>
    </row>
    <row r="1871" spans="6:20" x14ac:dyDescent="0.2">
      <c r="F1871" s="312"/>
      <c r="M1871" s="312"/>
      <c r="T1871" s="312"/>
    </row>
    <row r="1872" spans="6:20" x14ac:dyDescent="0.2">
      <c r="F1872" s="312"/>
      <c r="M1872" s="312"/>
      <c r="T1872" s="312"/>
    </row>
    <row r="1873" spans="6:20" x14ac:dyDescent="0.2">
      <c r="F1873" s="312"/>
      <c r="M1873" s="312"/>
      <c r="T1873" s="312"/>
    </row>
    <row r="1874" spans="6:20" x14ac:dyDescent="0.2">
      <c r="F1874" s="312"/>
      <c r="M1874" s="312"/>
      <c r="T1874" s="312"/>
    </row>
    <row r="1875" spans="6:20" x14ac:dyDescent="0.2">
      <c r="F1875" s="312"/>
      <c r="M1875" s="312"/>
      <c r="T1875" s="312"/>
    </row>
    <row r="1876" spans="6:20" x14ac:dyDescent="0.2">
      <c r="F1876" s="312"/>
      <c r="M1876" s="312"/>
      <c r="T1876" s="312"/>
    </row>
    <row r="1877" spans="6:20" x14ac:dyDescent="0.2">
      <c r="F1877" s="312"/>
      <c r="M1877" s="312"/>
      <c r="T1877" s="312"/>
    </row>
    <row r="1878" spans="6:20" x14ac:dyDescent="0.2">
      <c r="F1878" s="312"/>
      <c r="M1878" s="312"/>
      <c r="T1878" s="312"/>
    </row>
    <row r="1879" spans="6:20" x14ac:dyDescent="0.2">
      <c r="F1879" s="312"/>
      <c r="M1879" s="312"/>
      <c r="T1879" s="312"/>
    </row>
    <row r="1880" spans="6:20" x14ac:dyDescent="0.2">
      <c r="F1880" s="312"/>
      <c r="M1880" s="312"/>
      <c r="T1880" s="312"/>
    </row>
    <row r="1881" spans="6:20" x14ac:dyDescent="0.2">
      <c r="F1881" s="312"/>
      <c r="M1881" s="312"/>
      <c r="T1881" s="312"/>
    </row>
    <row r="1882" spans="6:20" x14ac:dyDescent="0.2">
      <c r="F1882" s="312"/>
      <c r="M1882" s="312"/>
      <c r="T1882" s="312"/>
    </row>
    <row r="1883" spans="6:20" x14ac:dyDescent="0.2">
      <c r="F1883" s="312"/>
      <c r="M1883" s="312"/>
      <c r="T1883" s="312"/>
    </row>
    <row r="1884" spans="6:20" x14ac:dyDescent="0.2">
      <c r="F1884" s="312"/>
      <c r="M1884" s="312"/>
      <c r="T1884" s="312"/>
    </row>
    <row r="1885" spans="6:20" x14ac:dyDescent="0.2">
      <c r="F1885" s="312"/>
      <c r="M1885" s="312"/>
      <c r="T1885" s="312"/>
    </row>
    <row r="1886" spans="6:20" x14ac:dyDescent="0.2">
      <c r="F1886" s="312"/>
      <c r="M1886" s="312"/>
      <c r="T1886" s="312"/>
    </row>
    <row r="1887" spans="6:20" x14ac:dyDescent="0.2">
      <c r="F1887" s="312"/>
      <c r="M1887" s="312"/>
      <c r="T1887" s="312"/>
    </row>
    <row r="1888" spans="6:20" x14ac:dyDescent="0.2">
      <c r="F1888" s="312"/>
      <c r="M1888" s="312"/>
      <c r="T1888" s="312"/>
    </row>
    <row r="1889" spans="6:20" x14ac:dyDescent="0.2">
      <c r="F1889" s="312"/>
      <c r="M1889" s="312"/>
      <c r="T1889" s="312"/>
    </row>
    <row r="1890" spans="6:20" x14ac:dyDescent="0.2">
      <c r="F1890" s="312"/>
      <c r="M1890" s="312"/>
      <c r="T1890" s="312"/>
    </row>
    <row r="1891" spans="6:20" x14ac:dyDescent="0.2">
      <c r="F1891" s="312"/>
      <c r="M1891" s="312"/>
      <c r="T1891" s="312"/>
    </row>
    <row r="1892" spans="6:20" x14ac:dyDescent="0.2">
      <c r="F1892" s="312"/>
      <c r="M1892" s="312"/>
      <c r="T1892" s="312"/>
    </row>
    <row r="1893" spans="6:20" x14ac:dyDescent="0.2">
      <c r="F1893" s="312"/>
      <c r="M1893" s="312"/>
      <c r="T1893" s="312"/>
    </row>
    <row r="1894" spans="6:20" x14ac:dyDescent="0.2">
      <c r="F1894" s="312"/>
      <c r="M1894" s="312"/>
      <c r="T1894" s="312"/>
    </row>
    <row r="1895" spans="6:20" x14ac:dyDescent="0.2">
      <c r="F1895" s="312"/>
      <c r="M1895" s="312"/>
      <c r="T1895" s="312"/>
    </row>
    <row r="1896" spans="6:20" x14ac:dyDescent="0.2">
      <c r="F1896" s="312"/>
      <c r="M1896" s="312"/>
      <c r="T1896" s="312"/>
    </row>
    <row r="1897" spans="6:20" x14ac:dyDescent="0.2">
      <c r="F1897" s="312"/>
      <c r="M1897" s="312"/>
      <c r="T1897" s="312"/>
    </row>
    <row r="1898" spans="6:20" x14ac:dyDescent="0.2">
      <c r="F1898" s="312"/>
      <c r="M1898" s="312"/>
      <c r="T1898" s="312"/>
    </row>
    <row r="1899" spans="6:20" x14ac:dyDescent="0.2">
      <c r="F1899" s="312"/>
      <c r="M1899" s="312"/>
      <c r="T1899" s="312"/>
    </row>
    <row r="1900" spans="6:20" x14ac:dyDescent="0.2">
      <c r="F1900" s="312"/>
      <c r="M1900" s="312"/>
      <c r="T1900" s="312"/>
    </row>
    <row r="1901" spans="6:20" x14ac:dyDescent="0.2">
      <c r="F1901" s="312"/>
      <c r="M1901" s="312"/>
      <c r="T1901" s="312"/>
    </row>
    <row r="1902" spans="6:20" x14ac:dyDescent="0.2">
      <c r="F1902" s="312"/>
      <c r="M1902" s="312"/>
      <c r="T1902" s="312"/>
    </row>
    <row r="1903" spans="6:20" x14ac:dyDescent="0.2">
      <c r="F1903" s="312"/>
      <c r="M1903" s="312"/>
      <c r="T1903" s="312"/>
    </row>
    <row r="1904" spans="6:20" x14ac:dyDescent="0.2">
      <c r="F1904" s="312"/>
      <c r="M1904" s="312"/>
      <c r="T1904" s="312"/>
    </row>
    <row r="1905" spans="6:20" x14ac:dyDescent="0.2">
      <c r="F1905" s="312"/>
      <c r="M1905" s="312"/>
      <c r="T1905" s="312"/>
    </row>
    <row r="1906" spans="6:20" x14ac:dyDescent="0.2">
      <c r="F1906" s="312"/>
      <c r="M1906" s="312"/>
      <c r="T1906" s="312"/>
    </row>
    <row r="1907" spans="6:20" x14ac:dyDescent="0.2">
      <c r="F1907" s="312"/>
      <c r="M1907" s="312"/>
      <c r="T1907" s="312"/>
    </row>
    <row r="1908" spans="6:20" x14ac:dyDescent="0.2">
      <c r="F1908" s="312"/>
      <c r="M1908" s="312"/>
      <c r="T1908" s="312"/>
    </row>
    <row r="1909" spans="6:20" x14ac:dyDescent="0.2">
      <c r="F1909" s="312"/>
      <c r="M1909" s="312"/>
      <c r="T1909" s="312"/>
    </row>
    <row r="1910" spans="6:20" x14ac:dyDescent="0.2">
      <c r="F1910" s="312"/>
      <c r="M1910" s="312"/>
      <c r="T1910" s="312"/>
    </row>
    <row r="1911" spans="6:20" x14ac:dyDescent="0.2">
      <c r="F1911" s="312"/>
      <c r="M1911" s="312"/>
      <c r="T1911" s="312"/>
    </row>
    <row r="1912" spans="6:20" x14ac:dyDescent="0.2">
      <c r="F1912" s="312"/>
      <c r="M1912" s="312"/>
      <c r="T1912" s="312"/>
    </row>
    <row r="1913" spans="6:20" x14ac:dyDescent="0.2">
      <c r="F1913" s="312"/>
      <c r="M1913" s="312"/>
      <c r="T1913" s="312"/>
    </row>
    <row r="1914" spans="6:20" x14ac:dyDescent="0.2">
      <c r="F1914" s="312"/>
      <c r="M1914" s="312"/>
      <c r="T1914" s="312"/>
    </row>
    <row r="1915" spans="6:20" x14ac:dyDescent="0.2">
      <c r="F1915" s="312"/>
      <c r="M1915" s="312"/>
      <c r="T1915" s="312"/>
    </row>
    <row r="1916" spans="6:20" x14ac:dyDescent="0.2">
      <c r="F1916" s="312"/>
      <c r="M1916" s="312"/>
      <c r="T1916" s="312"/>
    </row>
    <row r="1917" spans="6:20" x14ac:dyDescent="0.2">
      <c r="F1917" s="312"/>
      <c r="M1917" s="312"/>
      <c r="T1917" s="312"/>
    </row>
    <row r="1918" spans="6:20" x14ac:dyDescent="0.2">
      <c r="F1918" s="312"/>
      <c r="M1918" s="312"/>
      <c r="T1918" s="312"/>
    </row>
    <row r="1919" spans="6:20" x14ac:dyDescent="0.2">
      <c r="F1919" s="312"/>
      <c r="M1919" s="312"/>
      <c r="T1919" s="312"/>
    </row>
    <row r="1920" spans="6:20" x14ac:dyDescent="0.2">
      <c r="F1920" s="312"/>
      <c r="M1920" s="312"/>
      <c r="T1920" s="312"/>
    </row>
    <row r="1921" spans="6:20" x14ac:dyDescent="0.2">
      <c r="F1921" s="312"/>
      <c r="M1921" s="312"/>
      <c r="T1921" s="312"/>
    </row>
    <row r="1922" spans="6:20" x14ac:dyDescent="0.2">
      <c r="F1922" s="312"/>
      <c r="M1922" s="312"/>
      <c r="T1922" s="312"/>
    </row>
    <row r="1923" spans="6:20" x14ac:dyDescent="0.2">
      <c r="F1923" s="312"/>
      <c r="M1923" s="312"/>
      <c r="T1923" s="312"/>
    </row>
    <row r="1924" spans="6:20" x14ac:dyDescent="0.2">
      <c r="F1924" s="312"/>
      <c r="M1924" s="312"/>
      <c r="T1924" s="312"/>
    </row>
    <row r="1925" spans="6:20" x14ac:dyDescent="0.2">
      <c r="F1925" s="312"/>
      <c r="M1925" s="312"/>
      <c r="T1925" s="312"/>
    </row>
    <row r="1926" spans="6:20" x14ac:dyDescent="0.2">
      <c r="F1926" s="312"/>
      <c r="M1926" s="312"/>
      <c r="T1926" s="312"/>
    </row>
    <row r="1927" spans="6:20" x14ac:dyDescent="0.2">
      <c r="F1927" s="312"/>
      <c r="M1927" s="312"/>
      <c r="T1927" s="312"/>
    </row>
    <row r="1928" spans="6:20" x14ac:dyDescent="0.2">
      <c r="F1928" s="312"/>
      <c r="M1928" s="312"/>
      <c r="T1928" s="312"/>
    </row>
    <row r="1929" spans="6:20" x14ac:dyDescent="0.2">
      <c r="F1929" s="312"/>
      <c r="M1929" s="312"/>
      <c r="T1929" s="312"/>
    </row>
    <row r="1930" spans="6:20" x14ac:dyDescent="0.2">
      <c r="F1930" s="312"/>
      <c r="M1930" s="312"/>
      <c r="T1930" s="312"/>
    </row>
    <row r="1931" spans="6:20" x14ac:dyDescent="0.2">
      <c r="F1931" s="312"/>
      <c r="M1931" s="312"/>
      <c r="T1931" s="312"/>
    </row>
    <row r="1932" spans="6:20" x14ac:dyDescent="0.2">
      <c r="F1932" s="312"/>
      <c r="M1932" s="312"/>
      <c r="T1932" s="312"/>
    </row>
    <row r="1933" spans="6:20" x14ac:dyDescent="0.2">
      <c r="F1933" s="312"/>
      <c r="M1933" s="312"/>
      <c r="T1933" s="312"/>
    </row>
    <row r="1934" spans="6:20" x14ac:dyDescent="0.2">
      <c r="F1934" s="312"/>
      <c r="M1934" s="312"/>
      <c r="T1934" s="312"/>
    </row>
    <row r="1935" spans="6:20" x14ac:dyDescent="0.2">
      <c r="F1935" s="312"/>
      <c r="M1935" s="312"/>
      <c r="T1935" s="312"/>
    </row>
    <row r="1936" spans="6:20" x14ac:dyDescent="0.2">
      <c r="F1936" s="312"/>
      <c r="M1936" s="312"/>
      <c r="T1936" s="312"/>
    </row>
    <row r="1937" spans="6:20" x14ac:dyDescent="0.2">
      <c r="F1937" s="312"/>
      <c r="M1937" s="312"/>
      <c r="T1937" s="312"/>
    </row>
    <row r="1938" spans="6:20" x14ac:dyDescent="0.2">
      <c r="F1938" s="312"/>
      <c r="M1938" s="312"/>
      <c r="T1938" s="312"/>
    </row>
    <row r="1939" spans="6:20" x14ac:dyDescent="0.2">
      <c r="F1939" s="312"/>
      <c r="M1939" s="312"/>
      <c r="T1939" s="312"/>
    </row>
    <row r="1940" spans="6:20" x14ac:dyDescent="0.2">
      <c r="F1940" s="312"/>
      <c r="M1940" s="312"/>
      <c r="T1940" s="312"/>
    </row>
    <row r="1941" spans="6:20" x14ac:dyDescent="0.2">
      <c r="F1941" s="312"/>
      <c r="M1941" s="312"/>
      <c r="T1941" s="312"/>
    </row>
    <row r="1942" spans="6:20" x14ac:dyDescent="0.2">
      <c r="F1942" s="312"/>
      <c r="M1942" s="312"/>
      <c r="T1942" s="312"/>
    </row>
    <row r="1943" spans="6:20" x14ac:dyDescent="0.2">
      <c r="F1943" s="312"/>
      <c r="M1943" s="312"/>
      <c r="T1943" s="312"/>
    </row>
    <row r="1944" spans="6:20" x14ac:dyDescent="0.2">
      <c r="F1944" s="312"/>
      <c r="M1944" s="312"/>
      <c r="T1944" s="312"/>
    </row>
    <row r="1945" spans="6:20" x14ac:dyDescent="0.2">
      <c r="F1945" s="312"/>
      <c r="M1945" s="312"/>
      <c r="T1945" s="312"/>
    </row>
    <row r="1946" spans="6:20" x14ac:dyDescent="0.2">
      <c r="F1946" s="312"/>
      <c r="M1946" s="312"/>
      <c r="T1946" s="312"/>
    </row>
    <row r="1947" spans="6:20" x14ac:dyDescent="0.2">
      <c r="F1947" s="312"/>
      <c r="M1947" s="312"/>
      <c r="T1947" s="312"/>
    </row>
    <row r="1948" spans="6:20" x14ac:dyDescent="0.2">
      <c r="F1948" s="312"/>
      <c r="M1948" s="312"/>
      <c r="T1948" s="312"/>
    </row>
    <row r="1949" spans="6:20" x14ac:dyDescent="0.2">
      <c r="F1949" s="312"/>
      <c r="M1949" s="312"/>
      <c r="T1949" s="312"/>
    </row>
    <row r="1950" spans="6:20" x14ac:dyDescent="0.2">
      <c r="F1950" s="312"/>
      <c r="M1950" s="312"/>
      <c r="T1950" s="312"/>
    </row>
    <row r="1951" spans="6:20" x14ac:dyDescent="0.2">
      <c r="F1951" s="312"/>
      <c r="M1951" s="312"/>
      <c r="T1951" s="312"/>
    </row>
    <row r="1952" spans="6:20" x14ac:dyDescent="0.2">
      <c r="F1952" s="312"/>
      <c r="M1952" s="312"/>
      <c r="T1952" s="312"/>
    </row>
    <row r="1953" spans="6:20" x14ac:dyDescent="0.2">
      <c r="F1953" s="312"/>
      <c r="M1953" s="312"/>
      <c r="T1953" s="312"/>
    </row>
    <row r="1954" spans="6:20" x14ac:dyDescent="0.2">
      <c r="F1954" s="312"/>
      <c r="M1954" s="312"/>
      <c r="T1954" s="312"/>
    </row>
    <row r="1955" spans="6:20" x14ac:dyDescent="0.2">
      <c r="F1955" s="312"/>
      <c r="M1955" s="312"/>
      <c r="T1955" s="312"/>
    </row>
    <row r="1956" spans="6:20" x14ac:dyDescent="0.2">
      <c r="F1956" s="312"/>
      <c r="M1956" s="312"/>
      <c r="T1956" s="312"/>
    </row>
    <row r="1957" spans="6:20" x14ac:dyDescent="0.2">
      <c r="F1957" s="312"/>
      <c r="M1957" s="312"/>
      <c r="T1957" s="312"/>
    </row>
    <row r="1958" spans="6:20" x14ac:dyDescent="0.2">
      <c r="F1958" s="312"/>
      <c r="M1958" s="312"/>
      <c r="T1958" s="312"/>
    </row>
    <row r="1959" spans="6:20" x14ac:dyDescent="0.2">
      <c r="F1959" s="312"/>
      <c r="M1959" s="312"/>
      <c r="T1959" s="312"/>
    </row>
    <row r="1960" spans="6:20" x14ac:dyDescent="0.2">
      <c r="F1960" s="312"/>
      <c r="M1960" s="312"/>
      <c r="T1960" s="312"/>
    </row>
    <row r="1961" spans="6:20" x14ac:dyDescent="0.2">
      <c r="F1961" s="312"/>
      <c r="M1961" s="312"/>
      <c r="T1961" s="312"/>
    </row>
    <row r="1962" spans="6:20" x14ac:dyDescent="0.2">
      <c r="F1962" s="312"/>
      <c r="M1962" s="312"/>
      <c r="T1962" s="312"/>
    </row>
    <row r="1963" spans="6:20" x14ac:dyDescent="0.2">
      <c r="F1963" s="312"/>
      <c r="M1963" s="312"/>
      <c r="T1963" s="312"/>
    </row>
    <row r="1964" spans="6:20" x14ac:dyDescent="0.2">
      <c r="F1964" s="312"/>
      <c r="M1964" s="312"/>
      <c r="T1964" s="312"/>
    </row>
    <row r="1965" spans="6:20" x14ac:dyDescent="0.2">
      <c r="F1965" s="312"/>
      <c r="M1965" s="312"/>
      <c r="T1965" s="312"/>
    </row>
    <row r="1966" spans="6:20" x14ac:dyDescent="0.2">
      <c r="F1966" s="312"/>
      <c r="M1966" s="312"/>
      <c r="T1966" s="312"/>
    </row>
    <row r="1967" spans="6:20" x14ac:dyDescent="0.2">
      <c r="F1967" s="312"/>
      <c r="M1967" s="312"/>
      <c r="T1967" s="312"/>
    </row>
    <row r="1968" spans="6:20" x14ac:dyDescent="0.2">
      <c r="F1968" s="312"/>
      <c r="M1968" s="312"/>
      <c r="T1968" s="312"/>
    </row>
    <row r="1969" spans="6:20" x14ac:dyDescent="0.2">
      <c r="F1969" s="312"/>
      <c r="M1969" s="312"/>
      <c r="T1969" s="312"/>
    </row>
    <row r="1970" spans="6:20" x14ac:dyDescent="0.2">
      <c r="F1970" s="312"/>
      <c r="M1970" s="312"/>
      <c r="T1970" s="312"/>
    </row>
    <row r="1971" spans="6:20" x14ac:dyDescent="0.2">
      <c r="F1971" s="312"/>
      <c r="M1971" s="312"/>
      <c r="T1971" s="312"/>
    </row>
    <row r="1972" spans="6:20" x14ac:dyDescent="0.2">
      <c r="F1972" s="312"/>
      <c r="M1972" s="312"/>
      <c r="T1972" s="312"/>
    </row>
    <row r="1973" spans="6:20" x14ac:dyDescent="0.2">
      <c r="F1973" s="312"/>
      <c r="M1973" s="312"/>
      <c r="T1973" s="312"/>
    </row>
    <row r="1974" spans="6:20" x14ac:dyDescent="0.2">
      <c r="F1974" s="312"/>
      <c r="M1974" s="312"/>
    </row>
    <row r="1975" spans="6:20" x14ac:dyDescent="0.2">
      <c r="F1975" s="312"/>
      <c r="M1975" s="312"/>
    </row>
    <row r="1976" spans="6:20" x14ac:dyDescent="0.2">
      <c r="F1976" s="312"/>
      <c r="M1976" s="312"/>
      <c r="T1976" s="312"/>
    </row>
    <row r="1977" spans="6:20" x14ac:dyDescent="0.2">
      <c r="F1977" s="312"/>
      <c r="M1977" s="312"/>
      <c r="T1977" s="312"/>
    </row>
    <row r="1978" spans="6:20" x14ac:dyDescent="0.2">
      <c r="F1978" s="312"/>
      <c r="M1978" s="312"/>
      <c r="T1978" s="312"/>
    </row>
    <row r="1979" spans="6:20" x14ac:dyDescent="0.2">
      <c r="F1979" s="312"/>
      <c r="M1979" s="312"/>
      <c r="T1979" s="312"/>
    </row>
    <row r="1980" spans="6:20" x14ac:dyDescent="0.2">
      <c r="F1980" s="312"/>
      <c r="M1980" s="312"/>
      <c r="T1980" s="312"/>
    </row>
    <row r="1981" spans="6:20" x14ac:dyDescent="0.2">
      <c r="F1981" s="312"/>
      <c r="M1981" s="312"/>
      <c r="T1981" s="312"/>
    </row>
    <row r="1982" spans="6:20" x14ac:dyDescent="0.2">
      <c r="F1982" s="312"/>
      <c r="M1982" s="312"/>
      <c r="T1982" s="312"/>
    </row>
    <row r="1983" spans="6:20" x14ac:dyDescent="0.2">
      <c r="F1983" s="312"/>
      <c r="M1983" s="312"/>
      <c r="T1983" s="312"/>
    </row>
    <row r="1984" spans="6:20" x14ac:dyDescent="0.2">
      <c r="F1984" s="312"/>
      <c r="M1984" s="312"/>
      <c r="T1984" s="312"/>
    </row>
    <row r="1985" spans="6:20" x14ac:dyDescent="0.2">
      <c r="F1985" s="312"/>
      <c r="M1985" s="312"/>
      <c r="T1985" s="312"/>
    </row>
    <row r="1986" spans="6:20" x14ac:dyDescent="0.2">
      <c r="F1986" s="312"/>
      <c r="M1986" s="312"/>
      <c r="T1986" s="312"/>
    </row>
    <row r="1987" spans="6:20" x14ac:dyDescent="0.2">
      <c r="F1987" s="312"/>
      <c r="M1987" s="312"/>
      <c r="T1987" s="312"/>
    </row>
    <row r="1988" spans="6:20" x14ac:dyDescent="0.2">
      <c r="F1988" s="312"/>
      <c r="M1988" s="312"/>
      <c r="T1988" s="312"/>
    </row>
    <row r="1989" spans="6:20" x14ac:dyDescent="0.2">
      <c r="F1989" s="312"/>
      <c r="M1989" s="312"/>
      <c r="T1989" s="312"/>
    </row>
    <row r="1990" spans="6:20" x14ac:dyDescent="0.2">
      <c r="F1990" s="312"/>
      <c r="M1990" s="312"/>
      <c r="T1990" s="312"/>
    </row>
    <row r="1991" spans="6:20" x14ac:dyDescent="0.2">
      <c r="F1991" s="312"/>
      <c r="M1991" s="312"/>
      <c r="T1991" s="312"/>
    </row>
    <row r="1992" spans="6:20" x14ac:dyDescent="0.2">
      <c r="F1992" s="312"/>
      <c r="M1992" s="312"/>
      <c r="T1992" s="312"/>
    </row>
    <row r="1993" spans="6:20" x14ac:dyDescent="0.2">
      <c r="F1993" s="312"/>
      <c r="M1993" s="312"/>
      <c r="T1993" s="312"/>
    </row>
    <row r="1994" spans="6:20" x14ac:dyDescent="0.2">
      <c r="F1994" s="312"/>
      <c r="M1994" s="312"/>
      <c r="T1994" s="312"/>
    </row>
    <row r="1995" spans="6:20" x14ac:dyDescent="0.2">
      <c r="F1995" s="312"/>
      <c r="M1995" s="312"/>
      <c r="T1995" s="312"/>
    </row>
    <row r="1996" spans="6:20" x14ac:dyDescent="0.2">
      <c r="F1996" s="312"/>
      <c r="M1996" s="312"/>
      <c r="T1996" s="312"/>
    </row>
    <row r="1997" spans="6:20" x14ac:dyDescent="0.2">
      <c r="F1997" s="312"/>
      <c r="M1997" s="312"/>
      <c r="T1997" s="312"/>
    </row>
    <row r="1998" spans="6:20" x14ac:dyDescent="0.2">
      <c r="F1998" s="312"/>
      <c r="M1998" s="312"/>
      <c r="T1998" s="312"/>
    </row>
    <row r="1999" spans="6:20" x14ac:dyDescent="0.2">
      <c r="F1999" s="312"/>
      <c r="M1999" s="312"/>
      <c r="T1999" s="312"/>
    </row>
    <row r="2000" spans="6:20" x14ac:dyDescent="0.2">
      <c r="F2000" s="312"/>
      <c r="M2000" s="312"/>
    </row>
    <row r="2001" spans="6:20" x14ac:dyDescent="0.2">
      <c r="F2001" s="312"/>
      <c r="M2001" s="312"/>
    </row>
    <row r="2002" spans="6:20" x14ac:dyDescent="0.2">
      <c r="F2002" s="312"/>
      <c r="M2002" s="312"/>
      <c r="T2002" s="312"/>
    </row>
    <row r="2003" spans="6:20" x14ac:dyDescent="0.2">
      <c r="F2003" s="312"/>
      <c r="M2003" s="312"/>
      <c r="T2003" s="312"/>
    </row>
    <row r="2004" spans="6:20" x14ac:dyDescent="0.2">
      <c r="F2004" s="312"/>
      <c r="M2004" s="312"/>
      <c r="T2004" s="312"/>
    </row>
    <row r="2005" spans="6:20" x14ac:dyDescent="0.2">
      <c r="F2005" s="312"/>
      <c r="M2005" s="312"/>
      <c r="T2005" s="312"/>
    </row>
    <row r="2006" spans="6:20" x14ac:dyDescent="0.2">
      <c r="F2006" s="312"/>
      <c r="M2006" s="312"/>
      <c r="T2006" s="312"/>
    </row>
    <row r="2007" spans="6:20" x14ac:dyDescent="0.2">
      <c r="F2007" s="312"/>
      <c r="M2007" s="312"/>
      <c r="T2007" s="312"/>
    </row>
    <row r="2008" spans="6:20" x14ac:dyDescent="0.2">
      <c r="F2008" s="312"/>
      <c r="M2008" s="312"/>
      <c r="T2008" s="312"/>
    </row>
    <row r="2009" spans="6:20" x14ac:dyDescent="0.2">
      <c r="F2009" s="312"/>
      <c r="M2009" s="312"/>
      <c r="T2009" s="312"/>
    </row>
    <row r="2010" spans="6:20" x14ac:dyDescent="0.2">
      <c r="F2010" s="312"/>
      <c r="M2010" s="312"/>
      <c r="T2010" s="312"/>
    </row>
    <row r="2011" spans="6:20" x14ac:dyDescent="0.2">
      <c r="F2011" s="312"/>
      <c r="M2011" s="312"/>
      <c r="T2011" s="312"/>
    </row>
    <row r="2012" spans="6:20" x14ac:dyDescent="0.2">
      <c r="F2012" s="312"/>
      <c r="M2012" s="312"/>
      <c r="T2012" s="312"/>
    </row>
    <row r="2013" spans="6:20" x14ac:dyDescent="0.2">
      <c r="F2013" s="312"/>
      <c r="M2013" s="312"/>
      <c r="T2013" s="312"/>
    </row>
    <row r="2014" spans="6:20" x14ac:dyDescent="0.2">
      <c r="F2014" s="312"/>
      <c r="M2014" s="312"/>
      <c r="T2014" s="312"/>
    </row>
    <row r="2015" spans="6:20" x14ac:dyDescent="0.2">
      <c r="F2015" s="312"/>
      <c r="M2015" s="312"/>
      <c r="T2015" s="312"/>
    </row>
    <row r="2016" spans="6:20" x14ac:dyDescent="0.2">
      <c r="F2016" s="312"/>
      <c r="M2016" s="312"/>
      <c r="T2016" s="312"/>
    </row>
    <row r="2017" spans="6:20" x14ac:dyDescent="0.2">
      <c r="F2017" s="312"/>
      <c r="M2017" s="312"/>
      <c r="T2017" s="312"/>
    </row>
    <row r="2018" spans="6:20" x14ac:dyDescent="0.2">
      <c r="F2018" s="312"/>
      <c r="M2018" s="312"/>
      <c r="T2018" s="312"/>
    </row>
    <row r="2019" spans="6:20" x14ac:dyDescent="0.2">
      <c r="F2019" s="312"/>
      <c r="M2019" s="312"/>
      <c r="T2019" s="312"/>
    </row>
    <row r="2020" spans="6:20" x14ac:dyDescent="0.2">
      <c r="F2020" s="312"/>
      <c r="M2020" s="312"/>
      <c r="T2020" s="312"/>
    </row>
    <row r="2021" spans="6:20" x14ac:dyDescent="0.2">
      <c r="F2021" s="312"/>
      <c r="M2021" s="312"/>
      <c r="T2021" s="312"/>
    </row>
    <row r="2022" spans="6:20" x14ac:dyDescent="0.2">
      <c r="F2022" s="312"/>
      <c r="M2022" s="312"/>
      <c r="T2022" s="312"/>
    </row>
    <row r="2023" spans="6:20" x14ac:dyDescent="0.2">
      <c r="F2023" s="312"/>
      <c r="M2023" s="312"/>
      <c r="T2023" s="312"/>
    </row>
    <row r="2024" spans="6:20" x14ac:dyDescent="0.2">
      <c r="F2024" s="312"/>
      <c r="M2024" s="312"/>
      <c r="T2024" s="312"/>
    </row>
    <row r="2025" spans="6:20" x14ac:dyDescent="0.2">
      <c r="F2025" s="312"/>
      <c r="M2025" s="312"/>
      <c r="T2025" s="312"/>
    </row>
    <row r="2026" spans="6:20" x14ac:dyDescent="0.2">
      <c r="F2026" s="312"/>
    </row>
    <row r="2027" spans="6:20" x14ac:dyDescent="0.2">
      <c r="F2027" s="312"/>
    </row>
    <row r="2028" spans="6:20" x14ac:dyDescent="0.2">
      <c r="F2028" s="312"/>
      <c r="M2028" s="312"/>
      <c r="T2028" s="312"/>
    </row>
    <row r="2029" spans="6:20" x14ac:dyDescent="0.2">
      <c r="F2029" s="312"/>
      <c r="M2029" s="312"/>
      <c r="T2029" s="312"/>
    </row>
    <row r="2030" spans="6:20" x14ac:dyDescent="0.2">
      <c r="F2030" s="312"/>
      <c r="M2030" s="312"/>
      <c r="T2030" s="312"/>
    </row>
    <row r="2031" spans="6:20" x14ac:dyDescent="0.2">
      <c r="F2031" s="312"/>
      <c r="M2031" s="312"/>
      <c r="T2031" s="312"/>
    </row>
    <row r="2032" spans="6:20" x14ac:dyDescent="0.2">
      <c r="F2032" s="312"/>
      <c r="M2032" s="312"/>
      <c r="T2032" s="312"/>
    </row>
    <row r="2033" spans="6:20" x14ac:dyDescent="0.2">
      <c r="F2033" s="312"/>
      <c r="M2033" s="312"/>
      <c r="T2033" s="312"/>
    </row>
    <row r="2034" spans="6:20" x14ac:dyDescent="0.2">
      <c r="F2034" s="312"/>
      <c r="M2034" s="312"/>
      <c r="T2034" s="312"/>
    </row>
    <row r="2035" spans="6:20" x14ac:dyDescent="0.2">
      <c r="F2035" s="312"/>
      <c r="M2035" s="312"/>
      <c r="T2035" s="312"/>
    </row>
    <row r="2036" spans="6:20" x14ac:dyDescent="0.2">
      <c r="F2036" s="312"/>
      <c r="M2036" s="312"/>
      <c r="T2036" s="312"/>
    </row>
    <row r="2037" spans="6:20" x14ac:dyDescent="0.2">
      <c r="F2037" s="312"/>
      <c r="M2037" s="312"/>
      <c r="T2037" s="312"/>
    </row>
    <row r="2038" spans="6:20" x14ac:dyDescent="0.2">
      <c r="F2038" s="312"/>
      <c r="M2038" s="312"/>
      <c r="T2038" s="312"/>
    </row>
    <row r="2039" spans="6:20" x14ac:dyDescent="0.2">
      <c r="F2039" s="312"/>
      <c r="M2039" s="312"/>
      <c r="T2039" s="312"/>
    </row>
    <row r="2040" spans="6:20" x14ac:dyDescent="0.2">
      <c r="F2040" s="312"/>
      <c r="M2040" s="312"/>
      <c r="T2040" s="312"/>
    </row>
    <row r="2041" spans="6:20" x14ac:dyDescent="0.2">
      <c r="F2041" s="312"/>
      <c r="M2041" s="312"/>
      <c r="T2041" s="312"/>
    </row>
    <row r="2042" spans="6:20" x14ac:dyDescent="0.2">
      <c r="F2042" s="312"/>
      <c r="M2042" s="312"/>
      <c r="T2042" s="312"/>
    </row>
    <row r="2043" spans="6:20" x14ac:dyDescent="0.2">
      <c r="F2043" s="312"/>
      <c r="M2043" s="312"/>
      <c r="T2043" s="312"/>
    </row>
    <row r="2044" spans="6:20" x14ac:dyDescent="0.2">
      <c r="F2044" s="312"/>
      <c r="M2044" s="312"/>
      <c r="T2044" s="312"/>
    </row>
    <row r="2045" spans="6:20" x14ac:dyDescent="0.2">
      <c r="F2045" s="312"/>
      <c r="M2045" s="312"/>
      <c r="T2045" s="312"/>
    </row>
    <row r="2046" spans="6:20" x14ac:dyDescent="0.2">
      <c r="F2046" s="312"/>
      <c r="M2046" s="312"/>
      <c r="T2046" s="312"/>
    </row>
    <row r="2047" spans="6:20" x14ac:dyDescent="0.2">
      <c r="F2047" s="312"/>
      <c r="M2047" s="312"/>
      <c r="T2047" s="312"/>
    </row>
    <row r="2048" spans="6:20" x14ac:dyDescent="0.2">
      <c r="F2048" s="312"/>
      <c r="M2048" s="312"/>
      <c r="T2048" s="312"/>
    </row>
    <row r="2049" spans="6:20" x14ac:dyDescent="0.2">
      <c r="F2049" s="312"/>
      <c r="M2049" s="312"/>
      <c r="T2049" s="312"/>
    </row>
    <row r="2050" spans="6:20" x14ac:dyDescent="0.2">
      <c r="F2050" s="312"/>
      <c r="M2050" s="312"/>
      <c r="T2050" s="312"/>
    </row>
    <row r="2051" spans="6:20" x14ac:dyDescent="0.2">
      <c r="F2051" s="312"/>
      <c r="M2051" s="312"/>
      <c r="T2051" s="312"/>
    </row>
    <row r="2052" spans="6:20" x14ac:dyDescent="0.2">
      <c r="F2052" s="312"/>
      <c r="M2052" s="312"/>
      <c r="T2052" s="312"/>
    </row>
    <row r="2053" spans="6:20" x14ac:dyDescent="0.2">
      <c r="F2053" s="312"/>
      <c r="M2053" s="312"/>
      <c r="T2053" s="312"/>
    </row>
    <row r="2054" spans="6:20" x14ac:dyDescent="0.2">
      <c r="F2054" s="312"/>
      <c r="M2054" s="312"/>
      <c r="T2054" s="312"/>
    </row>
    <row r="2055" spans="6:20" x14ac:dyDescent="0.2">
      <c r="F2055" s="312"/>
      <c r="M2055" s="312"/>
      <c r="T2055" s="312"/>
    </row>
    <row r="2056" spans="6:20" x14ac:dyDescent="0.2">
      <c r="F2056" s="312"/>
      <c r="M2056" s="312"/>
      <c r="T2056" s="312"/>
    </row>
    <row r="2057" spans="6:20" x14ac:dyDescent="0.2">
      <c r="F2057" s="312"/>
      <c r="M2057" s="312"/>
      <c r="T2057" s="312"/>
    </row>
    <row r="2058" spans="6:20" x14ac:dyDescent="0.2">
      <c r="F2058" s="312"/>
      <c r="M2058" s="312"/>
      <c r="T2058" s="312"/>
    </row>
    <row r="2059" spans="6:20" x14ac:dyDescent="0.2">
      <c r="F2059" s="312"/>
      <c r="M2059" s="312"/>
      <c r="T2059" s="312"/>
    </row>
    <row r="2060" spans="6:20" x14ac:dyDescent="0.2">
      <c r="F2060" s="312"/>
      <c r="M2060" s="312"/>
      <c r="T2060" s="312"/>
    </row>
    <row r="2061" spans="6:20" x14ac:dyDescent="0.2">
      <c r="F2061" s="312"/>
      <c r="M2061" s="312"/>
      <c r="T2061" s="312"/>
    </row>
    <row r="2062" spans="6:20" x14ac:dyDescent="0.2">
      <c r="F2062" s="312"/>
      <c r="M2062" s="312"/>
      <c r="T2062" s="312"/>
    </row>
    <row r="2063" spans="6:20" x14ac:dyDescent="0.2">
      <c r="F2063" s="312"/>
      <c r="M2063" s="312"/>
      <c r="T2063" s="312"/>
    </row>
    <row r="2064" spans="6:20" x14ac:dyDescent="0.2">
      <c r="F2064" s="312"/>
      <c r="M2064" s="312"/>
      <c r="T2064" s="312"/>
    </row>
    <row r="2065" spans="6:20" x14ac:dyDescent="0.2">
      <c r="F2065" s="312"/>
      <c r="M2065" s="312"/>
      <c r="T2065" s="312"/>
    </row>
    <row r="2066" spans="6:20" x14ac:dyDescent="0.2">
      <c r="F2066" s="312"/>
      <c r="M2066" s="312"/>
      <c r="T2066" s="312"/>
    </row>
    <row r="2067" spans="6:20" x14ac:dyDescent="0.2">
      <c r="F2067" s="312"/>
      <c r="M2067" s="312"/>
      <c r="T2067" s="312"/>
    </row>
    <row r="2068" spans="6:20" x14ac:dyDescent="0.2">
      <c r="F2068" s="312"/>
      <c r="M2068" s="312"/>
      <c r="T2068" s="312"/>
    </row>
    <row r="2069" spans="6:20" x14ac:dyDescent="0.2">
      <c r="F2069" s="312"/>
      <c r="M2069" s="312"/>
      <c r="T2069" s="312"/>
    </row>
    <row r="2070" spans="6:20" x14ac:dyDescent="0.2">
      <c r="F2070" s="312"/>
      <c r="M2070" s="312"/>
      <c r="T2070" s="312"/>
    </row>
    <row r="2071" spans="6:20" x14ac:dyDescent="0.2">
      <c r="F2071" s="312"/>
      <c r="M2071" s="312"/>
      <c r="T2071" s="312"/>
    </row>
    <row r="2072" spans="6:20" x14ac:dyDescent="0.2">
      <c r="F2072" s="312"/>
      <c r="M2072" s="312"/>
      <c r="T2072" s="312"/>
    </row>
    <row r="2073" spans="6:20" x14ac:dyDescent="0.2">
      <c r="F2073" s="312"/>
      <c r="M2073" s="312"/>
      <c r="T2073" s="312"/>
    </row>
    <row r="2074" spans="6:20" x14ac:dyDescent="0.2">
      <c r="F2074" s="312"/>
      <c r="M2074" s="312"/>
      <c r="T2074" s="312"/>
    </row>
    <row r="2075" spans="6:20" x14ac:dyDescent="0.2">
      <c r="F2075" s="312"/>
    </row>
    <row r="2076" spans="6:20" x14ac:dyDescent="0.2">
      <c r="F2076" s="312"/>
      <c r="M2076" s="312"/>
    </row>
    <row r="2077" spans="6:20" x14ac:dyDescent="0.2">
      <c r="F2077" s="312"/>
      <c r="M2077" s="312"/>
    </row>
    <row r="2078" spans="6:20" x14ac:dyDescent="0.2">
      <c r="F2078" s="312"/>
      <c r="M2078" s="312"/>
    </row>
    <row r="2079" spans="6:20" x14ac:dyDescent="0.2">
      <c r="F2079" s="312"/>
      <c r="M2079" s="312"/>
    </row>
    <row r="2080" spans="6:20" x14ac:dyDescent="0.2">
      <c r="F2080" s="312"/>
      <c r="M2080" s="312"/>
    </row>
    <row r="2081" spans="6:20" x14ac:dyDescent="0.2">
      <c r="F2081" s="312"/>
      <c r="M2081" s="312"/>
      <c r="T2081" s="312"/>
    </row>
    <row r="2082" spans="6:20" x14ac:dyDescent="0.2">
      <c r="F2082" s="312"/>
      <c r="M2082" s="312"/>
      <c r="T2082" s="312"/>
    </row>
    <row r="2083" spans="6:20" x14ac:dyDescent="0.2">
      <c r="F2083" s="312"/>
      <c r="M2083" s="312"/>
      <c r="T2083" s="312"/>
    </row>
    <row r="2084" spans="6:20" x14ac:dyDescent="0.2">
      <c r="F2084" s="312"/>
      <c r="M2084" s="312"/>
      <c r="T2084" s="312"/>
    </row>
    <row r="2085" spans="6:20" x14ac:dyDescent="0.2">
      <c r="F2085" s="312"/>
      <c r="M2085" s="312"/>
      <c r="T2085" s="312"/>
    </row>
    <row r="2086" spans="6:20" x14ac:dyDescent="0.2">
      <c r="F2086" s="312"/>
      <c r="M2086" s="312"/>
      <c r="T2086" s="312"/>
    </row>
    <row r="2087" spans="6:20" x14ac:dyDescent="0.2">
      <c r="F2087" s="312"/>
      <c r="M2087" s="312"/>
      <c r="T2087" s="312"/>
    </row>
    <row r="2088" spans="6:20" x14ac:dyDescent="0.2">
      <c r="F2088" s="312"/>
      <c r="M2088" s="312"/>
      <c r="T2088" s="312"/>
    </row>
    <row r="2089" spans="6:20" x14ac:dyDescent="0.2">
      <c r="F2089" s="312"/>
      <c r="M2089" s="312"/>
      <c r="T2089" s="312"/>
    </row>
    <row r="2090" spans="6:20" x14ac:dyDescent="0.2">
      <c r="F2090" s="312"/>
      <c r="M2090" s="312"/>
      <c r="T2090" s="312"/>
    </row>
    <row r="2091" spans="6:20" x14ac:dyDescent="0.2">
      <c r="F2091" s="312"/>
      <c r="M2091" s="312"/>
      <c r="T2091" s="312"/>
    </row>
    <row r="2092" spans="6:20" x14ac:dyDescent="0.2">
      <c r="F2092" s="312"/>
      <c r="M2092" s="312"/>
      <c r="T2092" s="312"/>
    </row>
    <row r="2093" spans="6:20" x14ac:dyDescent="0.2">
      <c r="F2093" s="312"/>
      <c r="M2093" s="312"/>
      <c r="T2093" s="312"/>
    </row>
    <row r="2094" spans="6:20" x14ac:dyDescent="0.2">
      <c r="F2094" s="312"/>
      <c r="M2094" s="312"/>
      <c r="T2094" s="312"/>
    </row>
    <row r="2095" spans="6:20" x14ac:dyDescent="0.2">
      <c r="F2095" s="312"/>
      <c r="M2095" s="312"/>
      <c r="T2095" s="312"/>
    </row>
    <row r="2096" spans="6:20" x14ac:dyDescent="0.2">
      <c r="F2096" s="312"/>
      <c r="M2096" s="312"/>
      <c r="T2096" s="312"/>
    </row>
    <row r="2097" spans="6:20" x14ac:dyDescent="0.2">
      <c r="F2097" s="312"/>
      <c r="M2097" s="312"/>
      <c r="T2097" s="312"/>
    </row>
    <row r="2098" spans="6:20" x14ac:dyDescent="0.2">
      <c r="F2098" s="312"/>
      <c r="M2098" s="312"/>
      <c r="T2098" s="312"/>
    </row>
    <row r="2099" spans="6:20" x14ac:dyDescent="0.2">
      <c r="F2099" s="312"/>
      <c r="M2099" s="312"/>
      <c r="T2099" s="312"/>
    </row>
    <row r="2100" spans="6:20" x14ac:dyDescent="0.2">
      <c r="F2100" s="312"/>
      <c r="M2100" s="312"/>
      <c r="T2100" s="312"/>
    </row>
    <row r="2101" spans="6:20" x14ac:dyDescent="0.2">
      <c r="F2101" s="312"/>
    </row>
    <row r="2104" spans="6:20" x14ac:dyDescent="0.2">
      <c r="F2104" s="312"/>
    </row>
    <row r="2105" spans="6:20" x14ac:dyDescent="0.2">
      <c r="F2105" s="312"/>
    </row>
    <row r="2106" spans="6:20" x14ac:dyDescent="0.2">
      <c r="F2106" s="312"/>
    </row>
    <row r="2107" spans="6:20" x14ac:dyDescent="0.2">
      <c r="F2107" s="312"/>
      <c r="M2107" s="312"/>
      <c r="T2107" s="312"/>
    </row>
    <row r="2108" spans="6:20" x14ac:dyDescent="0.2">
      <c r="F2108" s="312"/>
      <c r="M2108" s="312"/>
      <c r="T2108" s="312"/>
    </row>
    <row r="2109" spans="6:20" x14ac:dyDescent="0.2">
      <c r="F2109" s="312"/>
      <c r="M2109" s="312"/>
      <c r="T2109" s="312"/>
    </row>
    <row r="2110" spans="6:20" x14ac:dyDescent="0.2">
      <c r="F2110" s="312"/>
      <c r="M2110" s="312"/>
      <c r="T2110" s="312"/>
    </row>
    <row r="2111" spans="6:20" x14ac:dyDescent="0.2">
      <c r="F2111" s="312"/>
      <c r="M2111" s="312"/>
      <c r="T2111" s="312"/>
    </row>
    <row r="2112" spans="6:20" x14ac:dyDescent="0.2">
      <c r="F2112" s="312"/>
      <c r="M2112" s="312"/>
      <c r="T2112" s="312"/>
    </row>
    <row r="2113" spans="6:20" x14ac:dyDescent="0.2">
      <c r="F2113" s="312"/>
      <c r="M2113" s="312"/>
      <c r="T2113" s="312"/>
    </row>
    <row r="2114" spans="6:20" x14ac:dyDescent="0.2">
      <c r="F2114" s="312"/>
      <c r="M2114" s="312"/>
      <c r="T2114" s="312"/>
    </row>
    <row r="2115" spans="6:20" x14ac:dyDescent="0.2">
      <c r="F2115" s="312"/>
      <c r="M2115" s="312"/>
      <c r="T2115" s="312"/>
    </row>
    <row r="2116" spans="6:20" x14ac:dyDescent="0.2">
      <c r="F2116" s="312"/>
      <c r="M2116" s="312"/>
      <c r="T2116" s="312"/>
    </row>
    <row r="2117" spans="6:20" x14ac:dyDescent="0.2">
      <c r="F2117" s="312"/>
      <c r="M2117" s="312"/>
      <c r="T2117" s="312"/>
    </row>
    <row r="2118" spans="6:20" x14ac:dyDescent="0.2">
      <c r="F2118" s="312"/>
      <c r="M2118" s="312"/>
      <c r="T2118" s="312"/>
    </row>
    <row r="2119" spans="6:20" x14ac:dyDescent="0.2">
      <c r="F2119" s="312"/>
      <c r="M2119" s="312"/>
      <c r="T2119" s="312"/>
    </row>
    <row r="2120" spans="6:20" x14ac:dyDescent="0.2">
      <c r="F2120" s="312"/>
      <c r="M2120" s="312"/>
      <c r="T2120" s="312"/>
    </row>
    <row r="2121" spans="6:20" x14ac:dyDescent="0.2">
      <c r="F2121" s="312"/>
      <c r="M2121" s="312"/>
      <c r="T2121" s="312"/>
    </row>
    <row r="2122" spans="6:20" x14ac:dyDescent="0.2">
      <c r="F2122" s="312"/>
      <c r="M2122" s="312"/>
      <c r="T2122" s="312"/>
    </row>
    <row r="2123" spans="6:20" x14ac:dyDescent="0.2">
      <c r="F2123" s="312"/>
      <c r="M2123" s="312"/>
      <c r="T2123" s="312"/>
    </row>
    <row r="2124" spans="6:20" x14ac:dyDescent="0.2">
      <c r="F2124" s="312"/>
      <c r="M2124" s="312"/>
      <c r="T2124" s="312"/>
    </row>
    <row r="2125" spans="6:20" x14ac:dyDescent="0.2">
      <c r="F2125" s="312"/>
      <c r="M2125" s="312"/>
      <c r="T2125" s="312"/>
    </row>
    <row r="2126" spans="6:20" x14ac:dyDescent="0.2">
      <c r="F2126" s="312"/>
      <c r="M2126" s="312"/>
      <c r="T2126" s="312"/>
    </row>
    <row r="2127" spans="6:20" x14ac:dyDescent="0.2">
      <c r="F2127" s="312"/>
      <c r="M2127" s="312"/>
      <c r="T2127" s="312"/>
    </row>
    <row r="2128" spans="6:20" x14ac:dyDescent="0.2">
      <c r="F2128" s="312"/>
      <c r="M2128" s="312"/>
      <c r="T2128" s="312"/>
    </row>
    <row r="2129" spans="6:20" x14ac:dyDescent="0.2">
      <c r="F2129" s="312"/>
      <c r="M2129" s="312"/>
      <c r="T2129" s="312"/>
    </row>
    <row r="2130" spans="6:20" x14ac:dyDescent="0.2">
      <c r="F2130" s="312"/>
      <c r="M2130" s="312"/>
      <c r="T2130" s="312"/>
    </row>
    <row r="2131" spans="6:20" x14ac:dyDescent="0.2">
      <c r="F2131" s="312"/>
      <c r="M2131" s="312"/>
      <c r="T2131" s="312"/>
    </row>
    <row r="2132" spans="6:20" x14ac:dyDescent="0.2">
      <c r="F2132" s="312"/>
      <c r="M2132" s="312"/>
      <c r="T2132" s="312"/>
    </row>
    <row r="2133" spans="6:20" x14ac:dyDescent="0.2">
      <c r="F2133" s="312"/>
      <c r="M2133" s="312"/>
      <c r="T2133" s="312"/>
    </row>
    <row r="2134" spans="6:20" x14ac:dyDescent="0.2">
      <c r="F2134" s="312"/>
      <c r="M2134" s="312"/>
      <c r="T2134" s="312"/>
    </row>
    <row r="2135" spans="6:20" x14ac:dyDescent="0.2">
      <c r="F2135" s="312"/>
      <c r="M2135" s="312"/>
      <c r="T2135" s="312"/>
    </row>
    <row r="2136" spans="6:20" x14ac:dyDescent="0.2">
      <c r="F2136" s="312"/>
      <c r="M2136" s="312"/>
      <c r="T2136" s="312"/>
    </row>
    <row r="2137" spans="6:20" x14ac:dyDescent="0.2">
      <c r="F2137" s="312"/>
      <c r="M2137" s="312"/>
      <c r="T2137" s="312"/>
    </row>
    <row r="2138" spans="6:20" x14ac:dyDescent="0.2">
      <c r="F2138" s="312"/>
      <c r="M2138" s="312"/>
      <c r="T2138" s="312"/>
    </row>
    <row r="2139" spans="6:20" x14ac:dyDescent="0.2">
      <c r="F2139" s="312"/>
      <c r="M2139" s="312"/>
      <c r="T2139" s="312"/>
    </row>
    <row r="2140" spans="6:20" x14ac:dyDescent="0.2">
      <c r="F2140" s="312"/>
      <c r="M2140" s="312"/>
      <c r="T2140" s="312"/>
    </row>
    <row r="2141" spans="6:20" x14ac:dyDescent="0.2">
      <c r="F2141" s="312"/>
      <c r="M2141" s="312"/>
      <c r="T2141" s="312"/>
    </row>
    <row r="2142" spans="6:20" x14ac:dyDescent="0.2">
      <c r="F2142" s="312"/>
      <c r="M2142" s="312"/>
      <c r="T2142" s="312"/>
    </row>
    <row r="2143" spans="6:20" x14ac:dyDescent="0.2">
      <c r="F2143" s="312"/>
      <c r="M2143" s="312"/>
      <c r="T2143" s="312"/>
    </row>
    <row r="2144" spans="6:20" x14ac:dyDescent="0.2">
      <c r="F2144" s="312"/>
      <c r="M2144" s="312"/>
      <c r="T2144" s="312"/>
    </row>
    <row r="2145" spans="6:20" x14ac:dyDescent="0.2">
      <c r="F2145" s="312"/>
      <c r="M2145" s="312"/>
      <c r="T2145" s="312"/>
    </row>
    <row r="2146" spans="6:20" x14ac:dyDescent="0.2">
      <c r="F2146" s="312"/>
      <c r="M2146" s="312"/>
      <c r="T2146" s="312"/>
    </row>
    <row r="2147" spans="6:20" x14ac:dyDescent="0.2">
      <c r="F2147" s="312"/>
      <c r="M2147" s="312"/>
      <c r="T2147" s="312"/>
    </row>
    <row r="2148" spans="6:20" x14ac:dyDescent="0.2">
      <c r="F2148" s="312"/>
      <c r="M2148" s="312"/>
      <c r="T2148" s="312"/>
    </row>
    <row r="2149" spans="6:20" x14ac:dyDescent="0.2">
      <c r="F2149" s="312"/>
      <c r="M2149" s="312"/>
      <c r="T2149" s="312"/>
    </row>
    <row r="2150" spans="6:20" x14ac:dyDescent="0.2">
      <c r="F2150" s="312"/>
      <c r="M2150" s="312"/>
      <c r="T2150" s="312"/>
    </row>
    <row r="2151" spans="6:20" x14ac:dyDescent="0.2">
      <c r="F2151" s="312"/>
      <c r="M2151" s="312"/>
      <c r="T2151" s="312"/>
    </row>
    <row r="2152" spans="6:20" x14ac:dyDescent="0.2">
      <c r="F2152" s="312"/>
      <c r="M2152" s="312"/>
      <c r="T2152" s="312"/>
    </row>
    <row r="2153" spans="6:20" x14ac:dyDescent="0.2">
      <c r="F2153" s="312"/>
      <c r="M2153" s="312"/>
      <c r="T2153" s="312"/>
    </row>
    <row r="2154" spans="6:20" x14ac:dyDescent="0.2">
      <c r="F2154" s="312"/>
      <c r="M2154" s="312"/>
      <c r="T2154" s="312"/>
    </row>
    <row r="2155" spans="6:20" x14ac:dyDescent="0.2">
      <c r="F2155" s="312"/>
      <c r="M2155" s="312"/>
      <c r="T2155" s="312"/>
    </row>
    <row r="2156" spans="6:20" x14ac:dyDescent="0.2">
      <c r="F2156" s="312"/>
      <c r="M2156" s="312"/>
      <c r="T2156" s="312"/>
    </row>
    <row r="2157" spans="6:20" x14ac:dyDescent="0.2">
      <c r="F2157" s="312"/>
      <c r="M2157" s="312"/>
      <c r="T2157" s="312"/>
    </row>
    <row r="2158" spans="6:20" x14ac:dyDescent="0.2">
      <c r="F2158" s="312"/>
      <c r="M2158" s="312"/>
      <c r="T2158" s="312"/>
    </row>
    <row r="2159" spans="6:20" x14ac:dyDescent="0.2">
      <c r="F2159" s="312"/>
      <c r="M2159" s="312"/>
      <c r="T2159" s="312"/>
    </row>
    <row r="2160" spans="6:20" x14ac:dyDescent="0.2">
      <c r="F2160" s="312"/>
      <c r="M2160" s="312"/>
      <c r="T2160" s="312"/>
    </row>
    <row r="2161" spans="6:20" x14ac:dyDescent="0.2">
      <c r="F2161" s="312"/>
      <c r="M2161" s="312"/>
      <c r="T2161" s="312"/>
    </row>
    <row r="2162" spans="6:20" x14ac:dyDescent="0.2">
      <c r="F2162" s="312"/>
      <c r="M2162" s="312"/>
      <c r="T2162" s="312"/>
    </row>
    <row r="2163" spans="6:20" x14ac:dyDescent="0.2">
      <c r="F2163" s="312"/>
      <c r="M2163" s="312"/>
      <c r="T2163" s="312"/>
    </row>
    <row r="2164" spans="6:20" x14ac:dyDescent="0.2">
      <c r="F2164" s="312"/>
      <c r="M2164" s="312"/>
    </row>
    <row r="2165" spans="6:20" x14ac:dyDescent="0.2">
      <c r="F2165" s="312"/>
      <c r="M2165" s="312"/>
    </row>
    <row r="2166" spans="6:20" x14ac:dyDescent="0.2">
      <c r="F2166" s="312"/>
      <c r="M2166" s="312"/>
      <c r="T2166" s="312"/>
    </row>
    <row r="2167" spans="6:20" x14ac:dyDescent="0.2">
      <c r="F2167" s="312"/>
      <c r="M2167" s="312"/>
      <c r="T2167" s="312"/>
    </row>
    <row r="2168" spans="6:20" x14ac:dyDescent="0.2">
      <c r="F2168" s="312"/>
      <c r="M2168" s="312"/>
      <c r="T2168" s="312"/>
    </row>
    <row r="2169" spans="6:20" x14ac:dyDescent="0.2">
      <c r="F2169" s="312"/>
      <c r="M2169" s="312"/>
      <c r="T2169" s="312"/>
    </row>
    <row r="2170" spans="6:20" x14ac:dyDescent="0.2">
      <c r="F2170" s="312"/>
      <c r="M2170" s="312"/>
      <c r="T2170" s="312"/>
    </row>
    <row r="2171" spans="6:20" x14ac:dyDescent="0.2">
      <c r="F2171" s="312"/>
      <c r="M2171" s="312"/>
      <c r="T2171" s="312"/>
    </row>
    <row r="2172" spans="6:20" x14ac:dyDescent="0.2">
      <c r="F2172" s="312"/>
      <c r="M2172" s="312"/>
      <c r="T2172" s="312"/>
    </row>
    <row r="2173" spans="6:20" x14ac:dyDescent="0.2">
      <c r="F2173" s="312"/>
      <c r="M2173" s="312"/>
      <c r="T2173" s="312"/>
    </row>
    <row r="2174" spans="6:20" x14ac:dyDescent="0.2">
      <c r="F2174" s="312"/>
      <c r="M2174" s="312"/>
      <c r="T2174" s="312"/>
    </row>
    <row r="2175" spans="6:20" x14ac:dyDescent="0.2">
      <c r="F2175" s="312"/>
      <c r="M2175" s="312"/>
      <c r="T2175" s="312"/>
    </row>
    <row r="2176" spans="6:20" x14ac:dyDescent="0.2">
      <c r="F2176" s="312"/>
      <c r="M2176" s="312"/>
      <c r="T2176" s="312"/>
    </row>
    <row r="2177" spans="6:20" x14ac:dyDescent="0.2">
      <c r="F2177" s="312"/>
      <c r="M2177" s="312"/>
      <c r="T2177" s="312"/>
    </row>
    <row r="2178" spans="6:20" x14ac:dyDescent="0.2">
      <c r="F2178" s="312"/>
      <c r="M2178" s="312"/>
      <c r="T2178" s="312"/>
    </row>
    <row r="2179" spans="6:20" x14ac:dyDescent="0.2">
      <c r="F2179" s="312"/>
      <c r="M2179" s="312"/>
      <c r="T2179" s="312"/>
    </row>
    <row r="2180" spans="6:20" x14ac:dyDescent="0.2">
      <c r="F2180" s="312"/>
      <c r="M2180" s="312"/>
      <c r="T2180" s="312"/>
    </row>
    <row r="2181" spans="6:20" x14ac:dyDescent="0.2">
      <c r="F2181" s="312"/>
      <c r="M2181" s="312"/>
      <c r="T2181" s="312"/>
    </row>
    <row r="2182" spans="6:20" x14ac:dyDescent="0.2">
      <c r="F2182" s="312"/>
      <c r="M2182" s="312"/>
      <c r="T2182" s="312"/>
    </row>
    <row r="2183" spans="6:20" x14ac:dyDescent="0.2">
      <c r="F2183" s="312"/>
      <c r="M2183" s="312"/>
      <c r="T2183" s="312"/>
    </row>
    <row r="2184" spans="6:20" x14ac:dyDescent="0.2">
      <c r="F2184" s="312"/>
      <c r="M2184" s="312"/>
      <c r="T2184" s="312"/>
    </row>
    <row r="2185" spans="6:20" x14ac:dyDescent="0.2">
      <c r="F2185" s="312"/>
      <c r="M2185" s="312"/>
      <c r="T2185" s="312"/>
    </row>
    <row r="2186" spans="6:20" x14ac:dyDescent="0.2">
      <c r="F2186" s="312"/>
      <c r="M2186" s="312"/>
      <c r="T2186" s="312"/>
    </row>
    <row r="2187" spans="6:20" x14ac:dyDescent="0.2">
      <c r="F2187" s="312"/>
      <c r="M2187" s="312"/>
      <c r="T2187" s="312"/>
    </row>
    <row r="2188" spans="6:20" x14ac:dyDescent="0.2">
      <c r="F2188" s="312"/>
      <c r="M2188" s="312"/>
      <c r="T2188" s="312"/>
    </row>
    <row r="2189" spans="6:20" x14ac:dyDescent="0.2">
      <c r="F2189" s="312"/>
      <c r="M2189" s="312"/>
      <c r="T2189" s="312"/>
    </row>
    <row r="2190" spans="6:20" x14ac:dyDescent="0.2">
      <c r="F2190" s="312"/>
      <c r="M2190" s="312"/>
    </row>
    <row r="2191" spans="6:20" x14ac:dyDescent="0.2">
      <c r="F2191" s="312"/>
      <c r="M2191" s="312"/>
      <c r="T2191" s="312"/>
    </row>
    <row r="2192" spans="6:20" x14ac:dyDescent="0.2">
      <c r="F2192" s="312"/>
      <c r="M2192" s="312"/>
      <c r="T2192" s="312"/>
    </row>
    <row r="2193" spans="6:20" x14ac:dyDescent="0.2">
      <c r="F2193" s="312"/>
      <c r="M2193" s="312"/>
      <c r="T2193" s="312"/>
    </row>
    <row r="2194" spans="6:20" x14ac:dyDescent="0.2">
      <c r="F2194" s="312"/>
      <c r="M2194" s="312"/>
      <c r="T2194" s="312"/>
    </row>
    <row r="2195" spans="6:20" x14ac:dyDescent="0.2">
      <c r="F2195" s="312"/>
      <c r="M2195" s="312"/>
      <c r="T2195" s="312"/>
    </row>
    <row r="2196" spans="6:20" x14ac:dyDescent="0.2">
      <c r="F2196" s="312"/>
      <c r="M2196" s="312"/>
      <c r="T2196" s="312"/>
    </row>
    <row r="2197" spans="6:20" x14ac:dyDescent="0.2">
      <c r="F2197" s="312"/>
      <c r="M2197" s="312"/>
      <c r="T2197" s="312"/>
    </row>
    <row r="2198" spans="6:20" x14ac:dyDescent="0.2">
      <c r="F2198" s="312"/>
      <c r="M2198" s="312"/>
      <c r="T2198" s="312"/>
    </row>
    <row r="2199" spans="6:20" x14ac:dyDescent="0.2">
      <c r="F2199" s="312"/>
      <c r="M2199" s="312"/>
      <c r="T2199" s="312"/>
    </row>
    <row r="2200" spans="6:20" x14ac:dyDescent="0.2">
      <c r="F2200" s="312"/>
      <c r="M2200" s="312"/>
      <c r="T2200" s="312"/>
    </row>
    <row r="2201" spans="6:20" x14ac:dyDescent="0.2">
      <c r="F2201" s="312"/>
      <c r="M2201" s="312"/>
      <c r="T2201" s="312"/>
    </row>
    <row r="2202" spans="6:20" x14ac:dyDescent="0.2">
      <c r="F2202" s="312"/>
      <c r="M2202" s="312"/>
      <c r="T2202" s="312"/>
    </row>
    <row r="2203" spans="6:20" x14ac:dyDescent="0.2">
      <c r="F2203" s="312"/>
      <c r="M2203" s="312"/>
      <c r="T2203" s="312"/>
    </row>
    <row r="2204" spans="6:20" x14ac:dyDescent="0.2">
      <c r="F2204" s="312"/>
      <c r="M2204" s="312"/>
      <c r="T2204" s="312"/>
    </row>
    <row r="2205" spans="6:20" x14ac:dyDescent="0.2">
      <c r="F2205" s="312"/>
      <c r="M2205" s="312"/>
      <c r="T2205" s="312"/>
    </row>
    <row r="2206" spans="6:20" x14ac:dyDescent="0.2">
      <c r="F2206" s="312"/>
      <c r="M2206" s="312"/>
      <c r="T2206" s="312"/>
    </row>
    <row r="2207" spans="6:20" x14ac:dyDescent="0.2">
      <c r="F2207" s="312"/>
      <c r="M2207" s="312"/>
      <c r="T2207" s="312"/>
    </row>
    <row r="2208" spans="6:20" x14ac:dyDescent="0.2">
      <c r="F2208" s="312"/>
      <c r="M2208" s="312"/>
      <c r="T2208" s="312"/>
    </row>
    <row r="2209" spans="6:20" x14ac:dyDescent="0.2">
      <c r="F2209" s="312"/>
      <c r="M2209" s="312"/>
      <c r="T2209" s="312"/>
    </row>
    <row r="2210" spans="6:20" x14ac:dyDescent="0.2">
      <c r="F2210" s="312"/>
      <c r="M2210" s="312"/>
      <c r="T2210" s="312"/>
    </row>
    <row r="2211" spans="6:20" x14ac:dyDescent="0.2">
      <c r="F2211" s="312"/>
      <c r="M2211" s="312"/>
      <c r="T2211" s="312"/>
    </row>
    <row r="2212" spans="6:20" x14ac:dyDescent="0.2">
      <c r="F2212" s="312"/>
      <c r="M2212" s="312"/>
      <c r="T2212" s="312"/>
    </row>
    <row r="2213" spans="6:20" x14ac:dyDescent="0.2">
      <c r="F2213" s="312"/>
      <c r="M2213" s="312"/>
      <c r="T2213" s="312"/>
    </row>
    <row r="2214" spans="6:20" x14ac:dyDescent="0.2">
      <c r="F2214" s="312"/>
      <c r="M2214" s="312"/>
      <c r="T2214" s="312"/>
    </row>
    <row r="2215" spans="6:20" x14ac:dyDescent="0.2">
      <c r="F2215" s="312"/>
      <c r="M2215" s="312"/>
      <c r="T2215" s="312"/>
    </row>
    <row r="2216" spans="6:20" x14ac:dyDescent="0.2">
      <c r="F2216" s="312"/>
      <c r="M2216" s="312"/>
      <c r="T2216" s="312"/>
    </row>
    <row r="2217" spans="6:20" x14ac:dyDescent="0.2">
      <c r="F2217" s="312"/>
      <c r="M2217" s="312"/>
      <c r="T2217" s="312"/>
    </row>
    <row r="2218" spans="6:20" x14ac:dyDescent="0.2">
      <c r="F2218" s="312"/>
      <c r="M2218" s="312"/>
      <c r="T2218" s="312"/>
    </row>
    <row r="2219" spans="6:20" x14ac:dyDescent="0.2">
      <c r="F2219" s="312"/>
      <c r="M2219" s="312"/>
      <c r="T2219" s="312"/>
    </row>
    <row r="2220" spans="6:20" x14ac:dyDescent="0.2">
      <c r="F2220" s="312"/>
      <c r="M2220" s="312"/>
      <c r="T2220" s="312"/>
    </row>
    <row r="2221" spans="6:20" x14ac:dyDescent="0.2">
      <c r="F2221" s="312"/>
      <c r="M2221" s="312"/>
      <c r="T2221" s="312"/>
    </row>
    <row r="2222" spans="6:20" x14ac:dyDescent="0.2">
      <c r="F2222" s="312"/>
      <c r="M2222" s="312"/>
      <c r="T2222" s="312"/>
    </row>
    <row r="2223" spans="6:20" x14ac:dyDescent="0.2">
      <c r="F2223" s="312"/>
      <c r="M2223" s="312"/>
      <c r="T2223" s="312"/>
    </row>
    <row r="2224" spans="6:20" x14ac:dyDescent="0.2">
      <c r="F2224" s="312"/>
      <c r="M2224" s="312"/>
      <c r="T2224" s="312"/>
    </row>
    <row r="2225" spans="6:20" x14ac:dyDescent="0.2">
      <c r="F2225" s="312"/>
      <c r="M2225" s="312"/>
      <c r="T2225" s="312"/>
    </row>
    <row r="2226" spans="6:20" x14ac:dyDescent="0.2">
      <c r="F2226" s="312"/>
      <c r="M2226" s="312"/>
      <c r="T2226" s="312"/>
    </row>
    <row r="2227" spans="6:20" x14ac:dyDescent="0.2">
      <c r="F2227" s="312"/>
      <c r="M2227" s="312"/>
      <c r="T2227" s="312"/>
    </row>
    <row r="2228" spans="6:20" x14ac:dyDescent="0.2">
      <c r="F2228" s="312"/>
      <c r="M2228" s="312"/>
      <c r="T2228" s="312"/>
    </row>
    <row r="2229" spans="6:20" x14ac:dyDescent="0.2">
      <c r="F2229" s="312"/>
      <c r="M2229" s="312"/>
      <c r="T2229" s="312"/>
    </row>
    <row r="2230" spans="6:20" x14ac:dyDescent="0.2">
      <c r="F2230" s="312"/>
      <c r="M2230" s="312"/>
      <c r="T2230" s="312"/>
    </row>
    <row r="2231" spans="6:20" x14ac:dyDescent="0.2">
      <c r="F2231" s="312"/>
      <c r="M2231" s="312"/>
      <c r="T2231" s="312"/>
    </row>
    <row r="2232" spans="6:20" x14ac:dyDescent="0.2">
      <c r="F2232" s="312"/>
      <c r="M2232" s="312"/>
      <c r="T2232" s="312"/>
    </row>
    <row r="2233" spans="6:20" x14ac:dyDescent="0.2">
      <c r="F2233" s="312"/>
      <c r="M2233" s="312"/>
      <c r="T2233" s="312"/>
    </row>
    <row r="2234" spans="6:20" x14ac:dyDescent="0.2">
      <c r="F2234" s="312"/>
      <c r="M2234" s="312"/>
      <c r="T2234" s="312"/>
    </row>
    <row r="2235" spans="6:20" x14ac:dyDescent="0.2">
      <c r="F2235" s="312"/>
      <c r="M2235" s="312"/>
      <c r="T2235" s="312"/>
    </row>
    <row r="2236" spans="6:20" x14ac:dyDescent="0.2">
      <c r="F2236" s="312"/>
      <c r="M2236" s="312"/>
      <c r="T2236" s="312"/>
    </row>
    <row r="2237" spans="6:20" x14ac:dyDescent="0.2">
      <c r="F2237" s="312"/>
      <c r="M2237" s="312"/>
      <c r="T2237" s="312"/>
    </row>
    <row r="2238" spans="6:20" x14ac:dyDescent="0.2">
      <c r="F2238" s="312"/>
      <c r="M2238" s="312"/>
      <c r="T2238" s="312"/>
    </row>
    <row r="2239" spans="6:20" x14ac:dyDescent="0.2">
      <c r="F2239" s="312"/>
      <c r="M2239" s="312"/>
      <c r="T2239" s="312"/>
    </row>
    <row r="2240" spans="6:20" x14ac:dyDescent="0.2">
      <c r="F2240" s="312"/>
      <c r="M2240" s="312"/>
      <c r="T2240" s="312"/>
    </row>
    <row r="2241" spans="6:20" x14ac:dyDescent="0.2">
      <c r="F2241" s="312"/>
      <c r="M2241" s="312"/>
      <c r="T2241" s="312"/>
    </row>
    <row r="2242" spans="6:20" x14ac:dyDescent="0.2">
      <c r="F2242" s="312"/>
      <c r="M2242" s="312"/>
      <c r="T2242" s="312"/>
    </row>
    <row r="2243" spans="6:20" x14ac:dyDescent="0.2">
      <c r="F2243" s="312"/>
      <c r="M2243" s="312"/>
      <c r="T2243" s="312"/>
    </row>
    <row r="2244" spans="6:20" x14ac:dyDescent="0.2">
      <c r="F2244" s="312"/>
      <c r="M2244" s="312"/>
    </row>
    <row r="2245" spans="6:20" x14ac:dyDescent="0.2">
      <c r="F2245" s="312"/>
      <c r="M2245" s="312"/>
    </row>
    <row r="2246" spans="6:20" x14ac:dyDescent="0.2">
      <c r="F2246" s="312"/>
      <c r="M2246" s="312"/>
    </row>
    <row r="2247" spans="6:20" x14ac:dyDescent="0.2">
      <c r="F2247" s="312"/>
      <c r="M2247" s="312"/>
    </row>
    <row r="2248" spans="6:20" x14ac:dyDescent="0.2">
      <c r="F2248" s="312"/>
      <c r="M2248" s="312"/>
    </row>
    <row r="2249" spans="6:20" x14ac:dyDescent="0.2">
      <c r="F2249" s="312"/>
      <c r="M2249" s="312"/>
    </row>
    <row r="2250" spans="6:20" x14ac:dyDescent="0.2">
      <c r="F2250" s="312"/>
      <c r="M2250" s="312"/>
    </row>
    <row r="2251" spans="6:20" x14ac:dyDescent="0.2">
      <c r="F2251" s="312"/>
      <c r="M2251" s="312"/>
    </row>
    <row r="2252" spans="6:20" x14ac:dyDescent="0.2">
      <c r="F2252" s="312"/>
      <c r="M2252" s="312"/>
    </row>
    <row r="2253" spans="6:20" x14ac:dyDescent="0.2">
      <c r="F2253" s="312"/>
      <c r="M2253" s="312"/>
    </row>
    <row r="2254" spans="6:20" x14ac:dyDescent="0.2">
      <c r="F2254" s="312"/>
      <c r="M2254" s="312"/>
      <c r="T2254" s="312"/>
    </row>
    <row r="2255" spans="6:20" x14ac:dyDescent="0.2">
      <c r="F2255" s="312"/>
      <c r="M2255" s="312"/>
      <c r="T2255" s="312"/>
    </row>
    <row r="2256" spans="6:20" x14ac:dyDescent="0.2">
      <c r="F2256" s="312"/>
      <c r="M2256" s="312"/>
      <c r="T2256" s="312"/>
    </row>
    <row r="2257" spans="6:20" x14ac:dyDescent="0.2">
      <c r="F2257" s="312"/>
      <c r="M2257" s="312"/>
      <c r="T2257" s="312"/>
    </row>
    <row r="2258" spans="6:20" x14ac:dyDescent="0.2">
      <c r="F2258" s="312"/>
      <c r="M2258" s="312"/>
      <c r="T2258" s="312"/>
    </row>
    <row r="2259" spans="6:20" x14ac:dyDescent="0.2">
      <c r="F2259" s="312"/>
      <c r="M2259" s="312"/>
      <c r="T2259" s="312"/>
    </row>
    <row r="2260" spans="6:20" x14ac:dyDescent="0.2">
      <c r="F2260" s="312"/>
      <c r="M2260" s="312"/>
      <c r="T2260" s="312"/>
    </row>
    <row r="2261" spans="6:20" x14ac:dyDescent="0.2">
      <c r="F2261" s="312"/>
      <c r="M2261" s="312"/>
      <c r="T2261" s="312"/>
    </row>
    <row r="2262" spans="6:20" x14ac:dyDescent="0.2">
      <c r="F2262" s="312"/>
      <c r="M2262" s="312"/>
      <c r="T2262" s="312"/>
    </row>
    <row r="2263" spans="6:20" x14ac:dyDescent="0.2">
      <c r="F2263" s="312"/>
      <c r="M2263" s="312"/>
      <c r="T2263" s="312"/>
    </row>
    <row r="2264" spans="6:20" x14ac:dyDescent="0.2">
      <c r="F2264" s="312"/>
      <c r="M2264" s="312"/>
      <c r="T2264" s="312"/>
    </row>
    <row r="2265" spans="6:20" x14ac:dyDescent="0.2">
      <c r="F2265" s="312"/>
      <c r="M2265" s="312"/>
      <c r="T2265" s="312"/>
    </row>
    <row r="2266" spans="6:20" x14ac:dyDescent="0.2">
      <c r="F2266" s="312"/>
      <c r="M2266" s="312"/>
      <c r="T2266" s="312"/>
    </row>
    <row r="2267" spans="6:20" x14ac:dyDescent="0.2">
      <c r="F2267" s="312"/>
      <c r="M2267" s="312"/>
      <c r="T2267" s="312"/>
    </row>
    <row r="2268" spans="6:20" x14ac:dyDescent="0.2">
      <c r="F2268" s="312"/>
      <c r="M2268" s="312"/>
      <c r="T2268" s="312"/>
    </row>
    <row r="2269" spans="6:20" x14ac:dyDescent="0.2">
      <c r="F2269" s="312"/>
      <c r="M2269" s="312"/>
      <c r="T2269" s="312"/>
    </row>
    <row r="2270" spans="6:20" x14ac:dyDescent="0.2">
      <c r="F2270" s="312"/>
      <c r="M2270" s="312"/>
    </row>
    <row r="2271" spans="6:20" x14ac:dyDescent="0.2">
      <c r="F2271" s="312"/>
      <c r="M2271" s="312"/>
    </row>
    <row r="2272" spans="6:20" x14ac:dyDescent="0.2">
      <c r="F2272" s="312"/>
      <c r="M2272" s="312"/>
    </row>
    <row r="2273" spans="6:20" x14ac:dyDescent="0.2">
      <c r="F2273" s="312"/>
      <c r="M2273" s="312"/>
    </row>
    <row r="2274" spans="6:20" x14ac:dyDescent="0.2">
      <c r="F2274" s="312"/>
      <c r="M2274" s="312"/>
    </row>
    <row r="2275" spans="6:20" x14ac:dyDescent="0.2">
      <c r="F2275" s="312"/>
      <c r="M2275" s="312"/>
    </row>
    <row r="2276" spans="6:20" x14ac:dyDescent="0.2">
      <c r="F2276" s="312"/>
      <c r="M2276" s="312"/>
    </row>
    <row r="2277" spans="6:20" x14ac:dyDescent="0.2">
      <c r="F2277" s="312"/>
      <c r="M2277" s="312"/>
    </row>
    <row r="2278" spans="6:20" x14ac:dyDescent="0.2">
      <c r="F2278" s="312"/>
      <c r="M2278" s="312"/>
    </row>
    <row r="2279" spans="6:20" x14ac:dyDescent="0.2">
      <c r="F2279" s="312"/>
      <c r="M2279" s="312"/>
    </row>
    <row r="2280" spans="6:20" x14ac:dyDescent="0.2">
      <c r="F2280" s="312"/>
      <c r="M2280" s="312"/>
      <c r="T2280" s="312"/>
    </row>
    <row r="2281" spans="6:20" x14ac:dyDescent="0.2">
      <c r="F2281" s="312"/>
      <c r="M2281" s="312"/>
      <c r="T2281" s="312"/>
    </row>
    <row r="2282" spans="6:20" x14ac:dyDescent="0.2">
      <c r="F2282" s="312"/>
      <c r="M2282" s="312"/>
      <c r="T2282" s="312"/>
    </row>
    <row r="2283" spans="6:20" x14ac:dyDescent="0.2">
      <c r="F2283" s="312"/>
      <c r="M2283" s="312"/>
      <c r="T2283" s="312"/>
    </row>
    <row r="2284" spans="6:20" x14ac:dyDescent="0.2">
      <c r="F2284" s="312"/>
      <c r="M2284" s="312"/>
      <c r="T2284" s="312"/>
    </row>
    <row r="2285" spans="6:20" x14ac:dyDescent="0.2">
      <c r="F2285" s="312"/>
      <c r="M2285" s="312"/>
      <c r="T2285" s="312"/>
    </row>
    <row r="2286" spans="6:20" x14ac:dyDescent="0.2">
      <c r="F2286" s="312"/>
      <c r="M2286" s="312"/>
      <c r="T2286" s="312"/>
    </row>
    <row r="2287" spans="6:20" x14ac:dyDescent="0.2">
      <c r="F2287" s="312"/>
      <c r="M2287" s="312"/>
      <c r="T2287" s="312"/>
    </row>
    <row r="2288" spans="6:20" x14ac:dyDescent="0.2">
      <c r="F2288" s="312"/>
      <c r="M2288" s="312"/>
      <c r="T2288" s="312"/>
    </row>
    <row r="2289" spans="6:20" x14ac:dyDescent="0.2">
      <c r="F2289" s="312"/>
      <c r="M2289" s="312"/>
      <c r="T2289" s="312"/>
    </row>
    <row r="2290" spans="6:20" x14ac:dyDescent="0.2">
      <c r="F2290" s="312"/>
      <c r="M2290" s="312"/>
      <c r="T2290" s="312"/>
    </row>
    <row r="2291" spans="6:20" x14ac:dyDescent="0.2">
      <c r="F2291" s="312"/>
      <c r="M2291" s="312"/>
      <c r="T2291" s="312"/>
    </row>
    <row r="2292" spans="6:20" x14ac:dyDescent="0.2">
      <c r="F2292" s="312"/>
      <c r="M2292" s="312"/>
      <c r="T2292" s="312"/>
    </row>
    <row r="2293" spans="6:20" x14ac:dyDescent="0.2">
      <c r="F2293" s="312"/>
      <c r="M2293" s="312"/>
      <c r="T2293" s="312"/>
    </row>
    <row r="2294" spans="6:20" x14ac:dyDescent="0.2">
      <c r="F2294" s="312"/>
      <c r="M2294" s="312"/>
      <c r="T2294" s="312"/>
    </row>
    <row r="2295" spans="6:20" x14ac:dyDescent="0.2">
      <c r="F2295" s="312"/>
      <c r="M2295" s="312"/>
      <c r="T2295" s="312"/>
    </row>
    <row r="2296" spans="6:20" x14ac:dyDescent="0.2">
      <c r="F2296" s="312"/>
      <c r="M2296" s="312"/>
      <c r="T2296" s="312"/>
    </row>
    <row r="2297" spans="6:20" x14ac:dyDescent="0.2">
      <c r="F2297" s="312"/>
      <c r="M2297" s="312"/>
      <c r="T2297" s="312"/>
    </row>
    <row r="2298" spans="6:20" x14ac:dyDescent="0.2">
      <c r="F2298" s="312"/>
      <c r="M2298" s="312"/>
      <c r="T2298" s="312"/>
    </row>
    <row r="2299" spans="6:20" x14ac:dyDescent="0.2">
      <c r="F2299" s="312"/>
      <c r="M2299" s="312"/>
      <c r="T2299" s="312"/>
    </row>
    <row r="2300" spans="6:20" x14ac:dyDescent="0.2">
      <c r="F2300" s="312"/>
      <c r="M2300" s="312"/>
      <c r="T2300" s="312"/>
    </row>
    <row r="2301" spans="6:20" x14ac:dyDescent="0.2">
      <c r="F2301" s="312"/>
      <c r="M2301" s="312"/>
      <c r="T2301" s="312"/>
    </row>
    <row r="2302" spans="6:20" x14ac:dyDescent="0.2">
      <c r="F2302" s="312"/>
      <c r="M2302" s="312"/>
      <c r="T2302" s="312"/>
    </row>
    <row r="2303" spans="6:20" x14ac:dyDescent="0.2">
      <c r="F2303" s="312"/>
      <c r="M2303" s="312"/>
      <c r="T2303" s="312"/>
    </row>
    <row r="2304" spans="6:20" x14ac:dyDescent="0.2">
      <c r="F2304" s="312"/>
      <c r="M2304" s="312"/>
    </row>
    <row r="2305" spans="6:20" x14ac:dyDescent="0.2">
      <c r="F2305" s="312"/>
      <c r="M2305" s="312"/>
    </row>
    <row r="2306" spans="6:20" x14ac:dyDescent="0.2">
      <c r="F2306" s="312"/>
      <c r="M2306" s="312"/>
    </row>
    <row r="2307" spans="6:20" x14ac:dyDescent="0.2">
      <c r="F2307" s="312"/>
      <c r="M2307" s="312"/>
    </row>
    <row r="2308" spans="6:20" x14ac:dyDescent="0.2">
      <c r="F2308" s="312"/>
      <c r="M2308" s="312"/>
    </row>
    <row r="2309" spans="6:20" x14ac:dyDescent="0.2">
      <c r="F2309" s="312"/>
      <c r="M2309" s="312"/>
    </row>
    <row r="2310" spans="6:20" x14ac:dyDescent="0.2">
      <c r="F2310" s="312"/>
      <c r="M2310" s="312"/>
    </row>
    <row r="2311" spans="6:20" x14ac:dyDescent="0.2">
      <c r="F2311" s="312"/>
      <c r="M2311" s="312"/>
    </row>
    <row r="2312" spans="6:20" x14ac:dyDescent="0.2">
      <c r="F2312" s="312"/>
      <c r="M2312" s="312"/>
    </row>
    <row r="2313" spans="6:20" x14ac:dyDescent="0.2">
      <c r="F2313" s="312"/>
      <c r="M2313" s="312"/>
    </row>
    <row r="2314" spans="6:20" x14ac:dyDescent="0.2">
      <c r="F2314" s="312"/>
      <c r="M2314" s="312"/>
      <c r="T2314" s="312"/>
    </row>
    <row r="2315" spans="6:20" x14ac:dyDescent="0.2">
      <c r="F2315" s="312"/>
      <c r="M2315" s="312"/>
      <c r="T2315" s="312"/>
    </row>
    <row r="2316" spans="6:20" x14ac:dyDescent="0.2">
      <c r="F2316" s="312"/>
      <c r="M2316" s="312"/>
      <c r="T2316" s="312"/>
    </row>
    <row r="2317" spans="6:20" x14ac:dyDescent="0.2">
      <c r="F2317" s="312"/>
      <c r="M2317" s="312"/>
      <c r="T2317" s="312"/>
    </row>
    <row r="2318" spans="6:20" x14ac:dyDescent="0.2">
      <c r="F2318" s="312"/>
      <c r="M2318" s="312"/>
      <c r="T2318" s="312"/>
    </row>
    <row r="2319" spans="6:20" x14ac:dyDescent="0.2">
      <c r="F2319" s="312"/>
      <c r="M2319" s="312"/>
      <c r="T2319" s="312"/>
    </row>
    <row r="2320" spans="6:20" x14ac:dyDescent="0.2">
      <c r="F2320" s="312"/>
      <c r="M2320" s="312"/>
      <c r="T2320" s="312"/>
    </row>
    <row r="2321" spans="6:20" x14ac:dyDescent="0.2">
      <c r="F2321" s="312"/>
      <c r="M2321" s="312"/>
      <c r="T2321" s="312"/>
    </row>
    <row r="2322" spans="6:20" x14ac:dyDescent="0.2">
      <c r="F2322" s="312"/>
      <c r="M2322" s="312"/>
      <c r="T2322" s="312"/>
    </row>
    <row r="2323" spans="6:20" x14ac:dyDescent="0.2">
      <c r="F2323" s="312"/>
      <c r="M2323" s="312"/>
      <c r="T2323" s="312"/>
    </row>
    <row r="2324" spans="6:20" x14ac:dyDescent="0.2">
      <c r="F2324" s="312"/>
      <c r="M2324" s="312"/>
      <c r="T2324" s="312"/>
    </row>
    <row r="2325" spans="6:20" x14ac:dyDescent="0.2">
      <c r="F2325" s="312"/>
      <c r="M2325" s="312"/>
      <c r="T2325" s="312"/>
    </row>
    <row r="2326" spans="6:20" x14ac:dyDescent="0.2">
      <c r="F2326" s="312"/>
      <c r="M2326" s="312"/>
      <c r="T2326" s="312"/>
    </row>
    <row r="2327" spans="6:20" x14ac:dyDescent="0.2">
      <c r="F2327" s="312"/>
      <c r="M2327" s="312"/>
      <c r="T2327" s="312"/>
    </row>
    <row r="2328" spans="6:20" x14ac:dyDescent="0.2">
      <c r="F2328" s="312"/>
      <c r="M2328" s="312"/>
      <c r="T2328" s="312"/>
    </row>
    <row r="2329" spans="6:20" x14ac:dyDescent="0.2">
      <c r="F2329" s="312"/>
      <c r="M2329" s="312"/>
      <c r="T2329" s="312"/>
    </row>
    <row r="2330" spans="6:20" x14ac:dyDescent="0.2">
      <c r="F2330" s="312"/>
      <c r="M2330" s="312"/>
    </row>
    <row r="2331" spans="6:20" x14ac:dyDescent="0.2">
      <c r="F2331" s="312"/>
      <c r="M2331" s="312"/>
    </row>
    <row r="2332" spans="6:20" x14ac:dyDescent="0.2">
      <c r="F2332" s="312"/>
      <c r="M2332" s="312"/>
    </row>
    <row r="2333" spans="6:20" x14ac:dyDescent="0.2">
      <c r="F2333" s="312"/>
      <c r="M2333" s="312"/>
    </row>
    <row r="2334" spans="6:20" x14ac:dyDescent="0.2">
      <c r="F2334" s="312"/>
      <c r="M2334" s="312"/>
    </row>
    <row r="2335" spans="6:20" x14ac:dyDescent="0.2">
      <c r="F2335" s="312"/>
      <c r="M2335" s="312"/>
    </row>
    <row r="2336" spans="6:20" x14ac:dyDescent="0.2">
      <c r="F2336" s="312"/>
      <c r="M2336" s="312"/>
    </row>
    <row r="2337" spans="6:20" x14ac:dyDescent="0.2">
      <c r="F2337" s="312"/>
      <c r="M2337" s="312"/>
    </row>
    <row r="2338" spans="6:20" x14ac:dyDescent="0.2">
      <c r="F2338" s="312"/>
      <c r="M2338" s="312"/>
    </row>
    <row r="2339" spans="6:20" x14ac:dyDescent="0.2">
      <c r="F2339" s="312"/>
      <c r="M2339" s="312"/>
    </row>
    <row r="2340" spans="6:20" x14ac:dyDescent="0.2">
      <c r="F2340" s="312"/>
      <c r="M2340" s="312"/>
      <c r="T2340" s="312"/>
    </row>
    <row r="2341" spans="6:20" x14ac:dyDescent="0.2">
      <c r="F2341" s="312"/>
      <c r="M2341" s="312"/>
      <c r="T2341" s="312"/>
    </row>
    <row r="2342" spans="6:20" x14ac:dyDescent="0.2">
      <c r="F2342" s="312"/>
      <c r="M2342" s="312"/>
      <c r="T2342" s="312"/>
    </row>
    <row r="2343" spans="6:20" x14ac:dyDescent="0.2">
      <c r="F2343" s="312"/>
      <c r="M2343" s="312"/>
      <c r="T2343" s="312"/>
    </row>
    <row r="2344" spans="6:20" x14ac:dyDescent="0.2">
      <c r="F2344" s="312"/>
      <c r="M2344" s="312"/>
      <c r="T2344" s="312"/>
    </row>
    <row r="2345" spans="6:20" x14ac:dyDescent="0.2">
      <c r="F2345" s="312"/>
      <c r="M2345" s="312"/>
      <c r="T2345" s="312"/>
    </row>
    <row r="2346" spans="6:20" x14ac:dyDescent="0.2">
      <c r="F2346" s="312"/>
      <c r="M2346" s="312"/>
      <c r="T2346" s="312"/>
    </row>
    <row r="2347" spans="6:20" x14ac:dyDescent="0.2">
      <c r="F2347" s="312"/>
      <c r="M2347" s="312"/>
      <c r="T2347" s="312"/>
    </row>
    <row r="2348" spans="6:20" x14ac:dyDescent="0.2">
      <c r="F2348" s="312"/>
      <c r="M2348" s="312"/>
      <c r="T2348" s="312"/>
    </row>
    <row r="2349" spans="6:20" x14ac:dyDescent="0.2">
      <c r="F2349" s="312"/>
      <c r="M2349" s="312"/>
      <c r="T2349" s="312"/>
    </row>
    <row r="2350" spans="6:20" x14ac:dyDescent="0.2">
      <c r="F2350" s="312"/>
      <c r="M2350" s="312"/>
      <c r="T2350" s="312"/>
    </row>
    <row r="2351" spans="6:20" x14ac:dyDescent="0.2">
      <c r="F2351" s="312"/>
      <c r="M2351" s="312"/>
      <c r="T2351" s="312"/>
    </row>
    <row r="2352" spans="6:20" x14ac:dyDescent="0.2">
      <c r="F2352" s="312"/>
      <c r="M2352" s="312"/>
      <c r="T2352" s="312"/>
    </row>
    <row r="2353" spans="6:20" x14ac:dyDescent="0.2">
      <c r="F2353" s="312"/>
      <c r="M2353" s="312"/>
      <c r="T2353" s="312"/>
    </row>
    <row r="2354" spans="6:20" x14ac:dyDescent="0.2">
      <c r="F2354" s="312"/>
      <c r="M2354" s="312"/>
      <c r="T2354" s="312"/>
    </row>
    <row r="2355" spans="6:20" x14ac:dyDescent="0.2">
      <c r="F2355" s="312"/>
      <c r="M2355" s="312"/>
      <c r="T2355" s="312"/>
    </row>
    <row r="2356" spans="6:20" x14ac:dyDescent="0.2">
      <c r="F2356" s="312"/>
      <c r="M2356" s="312"/>
    </row>
    <row r="2357" spans="6:20" x14ac:dyDescent="0.2">
      <c r="F2357" s="312"/>
      <c r="M2357" s="312"/>
    </row>
    <row r="2358" spans="6:20" x14ac:dyDescent="0.2">
      <c r="F2358" s="312"/>
      <c r="M2358" s="312"/>
    </row>
    <row r="2359" spans="6:20" x14ac:dyDescent="0.2">
      <c r="F2359" s="312"/>
      <c r="M2359" s="312"/>
    </row>
    <row r="2360" spans="6:20" x14ac:dyDescent="0.2">
      <c r="F2360" s="312"/>
      <c r="M2360" s="312"/>
    </row>
    <row r="2361" spans="6:20" x14ac:dyDescent="0.2">
      <c r="F2361" s="312"/>
      <c r="M2361" s="312"/>
    </row>
    <row r="2362" spans="6:20" x14ac:dyDescent="0.2">
      <c r="F2362" s="312"/>
      <c r="M2362" s="312"/>
    </row>
    <row r="2363" spans="6:20" x14ac:dyDescent="0.2">
      <c r="F2363" s="312"/>
      <c r="M2363" s="312"/>
    </row>
    <row r="2364" spans="6:20" x14ac:dyDescent="0.2">
      <c r="F2364" s="312"/>
      <c r="M2364" s="312"/>
    </row>
    <row r="2365" spans="6:20" x14ac:dyDescent="0.2">
      <c r="F2365" s="312"/>
      <c r="M2365" s="312"/>
    </row>
    <row r="2366" spans="6:20" x14ac:dyDescent="0.2">
      <c r="F2366" s="312"/>
      <c r="M2366" s="312"/>
      <c r="T2366" s="312"/>
    </row>
    <row r="2367" spans="6:20" x14ac:dyDescent="0.2">
      <c r="F2367" s="312"/>
      <c r="M2367" s="312"/>
      <c r="T2367" s="312"/>
    </row>
    <row r="2368" spans="6:20" x14ac:dyDescent="0.2">
      <c r="F2368" s="312"/>
      <c r="M2368" s="312"/>
      <c r="T2368" s="312"/>
    </row>
    <row r="2369" spans="6:20" x14ac:dyDescent="0.2">
      <c r="F2369" s="312"/>
      <c r="M2369" s="312"/>
      <c r="T2369" s="312"/>
    </row>
    <row r="2370" spans="6:20" x14ac:dyDescent="0.2">
      <c r="F2370" s="312"/>
      <c r="M2370" s="312"/>
      <c r="T2370" s="312"/>
    </row>
    <row r="2371" spans="6:20" x14ac:dyDescent="0.2">
      <c r="F2371" s="312"/>
      <c r="M2371" s="312"/>
      <c r="T2371" s="312"/>
    </row>
    <row r="2372" spans="6:20" x14ac:dyDescent="0.2">
      <c r="F2372" s="312"/>
      <c r="M2372" s="312"/>
      <c r="T2372" s="312"/>
    </row>
    <row r="2373" spans="6:20" x14ac:dyDescent="0.2">
      <c r="F2373" s="312"/>
      <c r="M2373" s="312"/>
      <c r="T2373" s="312"/>
    </row>
    <row r="2374" spans="6:20" x14ac:dyDescent="0.2">
      <c r="F2374" s="312"/>
      <c r="M2374" s="312"/>
      <c r="T2374" s="312"/>
    </row>
    <row r="2375" spans="6:20" x14ac:dyDescent="0.2">
      <c r="F2375" s="312"/>
      <c r="M2375" s="312"/>
      <c r="T2375" s="312"/>
    </row>
    <row r="2376" spans="6:20" x14ac:dyDescent="0.2">
      <c r="F2376" s="312"/>
      <c r="M2376" s="312"/>
      <c r="T2376" s="312"/>
    </row>
    <row r="2377" spans="6:20" x14ac:dyDescent="0.2">
      <c r="F2377" s="312"/>
      <c r="M2377" s="312"/>
      <c r="T2377" s="312"/>
    </row>
    <row r="2378" spans="6:20" x14ac:dyDescent="0.2">
      <c r="F2378" s="312"/>
      <c r="M2378" s="312"/>
      <c r="T2378" s="312"/>
    </row>
    <row r="2379" spans="6:20" x14ac:dyDescent="0.2">
      <c r="F2379" s="312"/>
      <c r="M2379" s="312"/>
      <c r="T2379" s="312"/>
    </row>
    <row r="2380" spans="6:20" x14ac:dyDescent="0.2">
      <c r="F2380" s="312"/>
      <c r="M2380" s="312"/>
      <c r="T2380" s="312"/>
    </row>
    <row r="2381" spans="6:20" x14ac:dyDescent="0.2">
      <c r="F2381" s="312"/>
      <c r="M2381" s="312"/>
      <c r="T2381" s="312"/>
    </row>
    <row r="2382" spans="6:20" x14ac:dyDescent="0.2">
      <c r="F2382" s="312"/>
      <c r="M2382" s="312"/>
      <c r="T2382" s="312"/>
    </row>
    <row r="2383" spans="6:20" x14ac:dyDescent="0.2">
      <c r="F2383" s="312"/>
      <c r="M2383" s="312"/>
      <c r="T2383" s="312"/>
    </row>
    <row r="2384" spans="6:20" x14ac:dyDescent="0.2">
      <c r="F2384" s="312"/>
      <c r="M2384" s="312"/>
      <c r="T2384" s="312"/>
    </row>
    <row r="2385" spans="6:20" x14ac:dyDescent="0.2">
      <c r="F2385" s="312"/>
      <c r="M2385" s="312"/>
      <c r="T2385" s="312"/>
    </row>
    <row r="2386" spans="6:20" x14ac:dyDescent="0.2">
      <c r="F2386" s="312"/>
      <c r="M2386" s="312"/>
      <c r="T2386" s="312"/>
    </row>
    <row r="2387" spans="6:20" x14ac:dyDescent="0.2">
      <c r="F2387" s="312"/>
      <c r="M2387" s="312"/>
      <c r="T2387" s="312"/>
    </row>
    <row r="2388" spans="6:20" x14ac:dyDescent="0.2">
      <c r="F2388" s="312"/>
      <c r="M2388" s="312"/>
      <c r="T2388" s="312"/>
    </row>
    <row r="2389" spans="6:20" x14ac:dyDescent="0.2">
      <c r="F2389" s="312"/>
      <c r="M2389" s="312"/>
      <c r="T2389" s="312"/>
    </row>
    <row r="2390" spans="6:20" x14ac:dyDescent="0.2">
      <c r="F2390" s="312"/>
      <c r="M2390" s="312"/>
      <c r="T2390" s="312"/>
    </row>
    <row r="2391" spans="6:20" x14ac:dyDescent="0.2">
      <c r="F2391" s="312"/>
      <c r="M2391" s="312"/>
    </row>
    <row r="2392" spans="6:20" x14ac:dyDescent="0.2">
      <c r="F2392" s="312"/>
      <c r="M2392" s="312"/>
    </row>
    <row r="2393" spans="6:20" x14ac:dyDescent="0.2">
      <c r="F2393" s="312"/>
      <c r="M2393" s="312"/>
    </row>
    <row r="2394" spans="6:20" x14ac:dyDescent="0.2">
      <c r="F2394" s="312"/>
      <c r="M2394" s="312"/>
    </row>
    <row r="2395" spans="6:20" x14ac:dyDescent="0.2">
      <c r="F2395" s="312"/>
      <c r="M2395" s="312"/>
    </row>
    <row r="2396" spans="6:20" x14ac:dyDescent="0.2">
      <c r="F2396" s="312"/>
      <c r="M2396" s="312"/>
    </row>
    <row r="2397" spans="6:20" x14ac:dyDescent="0.2">
      <c r="F2397" s="312"/>
      <c r="M2397" s="312"/>
    </row>
    <row r="2398" spans="6:20" x14ac:dyDescent="0.2">
      <c r="F2398" s="312"/>
      <c r="M2398" s="312"/>
    </row>
    <row r="2399" spans="6:20" x14ac:dyDescent="0.2">
      <c r="F2399" s="312"/>
      <c r="M2399" s="312"/>
    </row>
    <row r="2400" spans="6:20" x14ac:dyDescent="0.2">
      <c r="F2400" s="312"/>
      <c r="M2400" s="312"/>
    </row>
    <row r="2401" spans="6:20" x14ac:dyDescent="0.2">
      <c r="F2401" s="312"/>
      <c r="M2401" s="312"/>
      <c r="T2401" s="312"/>
    </row>
    <row r="2402" spans="6:20" x14ac:dyDescent="0.2">
      <c r="F2402" s="312"/>
      <c r="M2402" s="312"/>
      <c r="T2402" s="312"/>
    </row>
    <row r="2403" spans="6:20" x14ac:dyDescent="0.2">
      <c r="F2403" s="312"/>
      <c r="M2403" s="312"/>
      <c r="T2403" s="312"/>
    </row>
    <row r="2404" spans="6:20" x14ac:dyDescent="0.2">
      <c r="F2404" s="312"/>
      <c r="M2404" s="312"/>
      <c r="T2404" s="312"/>
    </row>
    <row r="2405" spans="6:20" x14ac:dyDescent="0.2">
      <c r="F2405" s="312"/>
      <c r="M2405" s="312"/>
      <c r="T2405" s="312"/>
    </row>
    <row r="2406" spans="6:20" x14ac:dyDescent="0.2">
      <c r="F2406" s="312"/>
      <c r="M2406" s="312"/>
      <c r="T2406" s="312"/>
    </row>
    <row r="2407" spans="6:20" x14ac:dyDescent="0.2">
      <c r="F2407" s="312"/>
      <c r="M2407" s="312"/>
    </row>
    <row r="2408" spans="6:20" x14ac:dyDescent="0.2">
      <c r="F2408" s="312"/>
      <c r="M2408" s="312"/>
    </row>
    <row r="2409" spans="6:20" x14ac:dyDescent="0.2">
      <c r="F2409" s="312"/>
      <c r="M2409" s="312"/>
    </row>
    <row r="2410" spans="6:20" x14ac:dyDescent="0.2">
      <c r="F2410" s="312"/>
      <c r="M2410" s="312"/>
    </row>
    <row r="2411" spans="6:20" x14ac:dyDescent="0.2">
      <c r="F2411" s="312"/>
      <c r="M2411" s="312"/>
      <c r="T2411" s="312"/>
    </row>
    <row r="2412" spans="6:20" x14ac:dyDescent="0.2">
      <c r="F2412" s="312"/>
      <c r="M2412" s="312"/>
      <c r="T2412" s="312"/>
    </row>
    <row r="2413" spans="6:20" x14ac:dyDescent="0.2">
      <c r="F2413" s="312"/>
      <c r="M2413" s="312"/>
      <c r="T2413" s="312"/>
    </row>
    <row r="2414" spans="6:20" x14ac:dyDescent="0.2">
      <c r="F2414" s="312"/>
      <c r="M2414" s="312"/>
      <c r="T2414" s="312"/>
    </row>
    <row r="2415" spans="6:20" x14ac:dyDescent="0.2">
      <c r="F2415" s="312"/>
      <c r="M2415" s="312"/>
      <c r="T2415" s="312"/>
    </row>
    <row r="2416" spans="6:20" x14ac:dyDescent="0.2">
      <c r="F2416" s="312"/>
      <c r="M2416" s="312"/>
      <c r="T2416" s="312"/>
    </row>
    <row r="2417" spans="6:13" x14ac:dyDescent="0.2">
      <c r="F2417" s="312"/>
      <c r="M2417" s="312"/>
    </row>
    <row r="2418" spans="6:13" x14ac:dyDescent="0.2">
      <c r="F2418" s="312"/>
      <c r="M2418" s="312"/>
    </row>
    <row r="2419" spans="6:13" x14ac:dyDescent="0.2">
      <c r="F2419" s="312"/>
      <c r="M2419" s="312"/>
    </row>
    <row r="2420" spans="6:13" x14ac:dyDescent="0.2">
      <c r="F2420" s="312"/>
      <c r="M2420" s="312"/>
    </row>
    <row r="2421" spans="6:13" x14ac:dyDescent="0.2">
      <c r="F2421" s="312"/>
      <c r="M2421" s="312"/>
    </row>
    <row r="2422" spans="6:13" x14ac:dyDescent="0.2">
      <c r="F2422" s="312"/>
      <c r="M2422" s="312"/>
    </row>
    <row r="2423" spans="6:13" x14ac:dyDescent="0.2">
      <c r="F2423" s="312"/>
      <c r="M2423" s="312"/>
    </row>
    <row r="2424" spans="6:13" x14ac:dyDescent="0.2">
      <c r="F2424" s="312"/>
      <c r="M2424" s="312"/>
    </row>
    <row r="2425" spans="6:13" x14ac:dyDescent="0.2">
      <c r="F2425" s="312"/>
      <c r="M2425" s="312"/>
    </row>
    <row r="2426" spans="6:13" x14ac:dyDescent="0.2">
      <c r="F2426" s="312"/>
      <c r="M2426" s="312"/>
    </row>
    <row r="2427" spans="6:13" x14ac:dyDescent="0.2">
      <c r="F2427" s="312"/>
      <c r="M2427" s="312"/>
    </row>
    <row r="2428" spans="6:13" x14ac:dyDescent="0.2">
      <c r="F2428" s="312"/>
      <c r="M2428" s="312"/>
    </row>
    <row r="2429" spans="6:13" x14ac:dyDescent="0.2">
      <c r="F2429" s="312"/>
      <c r="M2429" s="312"/>
    </row>
    <row r="2430" spans="6:13" x14ac:dyDescent="0.2">
      <c r="F2430" s="312"/>
      <c r="M2430" s="312"/>
    </row>
    <row r="2431" spans="6:13" x14ac:dyDescent="0.2">
      <c r="F2431" s="312"/>
      <c r="M2431" s="312"/>
    </row>
    <row r="2432" spans="6:13" x14ac:dyDescent="0.2">
      <c r="F2432" s="312"/>
      <c r="M2432" s="312"/>
    </row>
    <row r="2433" spans="6:20" x14ac:dyDescent="0.2">
      <c r="F2433" s="312"/>
      <c r="M2433" s="312"/>
    </row>
    <row r="2434" spans="6:20" x14ac:dyDescent="0.2">
      <c r="F2434" s="312"/>
      <c r="M2434" s="312"/>
    </row>
    <row r="2435" spans="6:20" x14ac:dyDescent="0.2">
      <c r="F2435" s="312"/>
      <c r="M2435" s="312"/>
    </row>
    <row r="2436" spans="6:20" x14ac:dyDescent="0.2">
      <c r="F2436" s="312"/>
      <c r="M2436" s="312"/>
    </row>
    <row r="2437" spans="6:20" x14ac:dyDescent="0.2">
      <c r="F2437" s="312"/>
      <c r="M2437" s="312"/>
      <c r="T2437" s="312"/>
    </row>
    <row r="2438" spans="6:20" x14ac:dyDescent="0.2">
      <c r="F2438" s="312"/>
      <c r="M2438" s="312"/>
      <c r="T2438" s="312"/>
    </row>
    <row r="2439" spans="6:20" x14ac:dyDescent="0.2">
      <c r="F2439" s="312"/>
      <c r="M2439" s="312"/>
      <c r="T2439" s="312"/>
    </row>
    <row r="2440" spans="6:20" x14ac:dyDescent="0.2">
      <c r="F2440" s="312"/>
      <c r="M2440" s="312"/>
      <c r="T2440" s="312"/>
    </row>
    <row r="2441" spans="6:20" x14ac:dyDescent="0.2">
      <c r="F2441" s="312"/>
      <c r="M2441" s="312"/>
      <c r="T2441" s="312"/>
    </row>
    <row r="2442" spans="6:20" x14ac:dyDescent="0.2">
      <c r="F2442" s="312"/>
      <c r="M2442" s="312"/>
      <c r="T2442" s="312"/>
    </row>
    <row r="2443" spans="6:20" x14ac:dyDescent="0.2">
      <c r="F2443" s="312"/>
      <c r="M2443" s="312"/>
    </row>
    <row r="2444" spans="6:20" x14ac:dyDescent="0.2">
      <c r="F2444" s="312"/>
      <c r="M2444" s="312"/>
    </row>
    <row r="2445" spans="6:20" x14ac:dyDescent="0.2">
      <c r="F2445" s="312"/>
      <c r="M2445" s="312"/>
    </row>
    <row r="2446" spans="6:20" x14ac:dyDescent="0.2">
      <c r="F2446" s="312"/>
      <c r="M2446" s="312"/>
    </row>
    <row r="2447" spans="6:20" x14ac:dyDescent="0.2">
      <c r="F2447" s="312"/>
      <c r="M2447" s="312"/>
    </row>
    <row r="2448" spans="6:20" x14ac:dyDescent="0.2">
      <c r="F2448" s="312"/>
      <c r="M2448" s="312"/>
    </row>
    <row r="2449" spans="6:20" x14ac:dyDescent="0.2">
      <c r="F2449" s="312"/>
      <c r="M2449" s="312"/>
    </row>
    <row r="2450" spans="6:20" x14ac:dyDescent="0.2">
      <c r="F2450" s="312"/>
      <c r="M2450" s="312"/>
    </row>
    <row r="2451" spans="6:20" x14ac:dyDescent="0.2">
      <c r="F2451" s="312"/>
      <c r="M2451" s="312"/>
    </row>
    <row r="2452" spans="6:20" x14ac:dyDescent="0.2">
      <c r="F2452" s="312"/>
      <c r="M2452" s="312"/>
    </row>
    <row r="2453" spans="6:20" x14ac:dyDescent="0.2">
      <c r="F2453" s="312"/>
      <c r="M2453" s="312"/>
    </row>
    <row r="2455" spans="6:20" x14ac:dyDescent="0.2">
      <c r="F2455" s="312"/>
      <c r="M2455" s="312"/>
    </row>
    <row r="2456" spans="6:20" x14ac:dyDescent="0.2">
      <c r="F2456" s="312"/>
      <c r="M2456" s="312"/>
    </row>
    <row r="2457" spans="6:20" x14ac:dyDescent="0.2">
      <c r="F2457" s="312"/>
      <c r="M2457" s="312"/>
    </row>
    <row r="2458" spans="6:20" x14ac:dyDescent="0.2">
      <c r="F2458" s="312"/>
      <c r="M2458" s="312"/>
    </row>
    <row r="2459" spans="6:20" x14ac:dyDescent="0.2">
      <c r="F2459" s="312"/>
      <c r="M2459" s="312"/>
    </row>
    <row r="2460" spans="6:20" x14ac:dyDescent="0.2">
      <c r="F2460" s="312"/>
    </row>
    <row r="2461" spans="6:20" x14ac:dyDescent="0.2">
      <c r="F2461" s="312"/>
    </row>
    <row r="2462" spans="6:20" x14ac:dyDescent="0.2">
      <c r="F2462" s="312"/>
    </row>
    <row r="2463" spans="6:20" x14ac:dyDescent="0.2">
      <c r="F2463" s="312"/>
      <c r="M2463" s="312"/>
      <c r="T2463" s="312"/>
    </row>
    <row r="2464" spans="6:20" x14ac:dyDescent="0.2">
      <c r="F2464" s="312"/>
      <c r="M2464" s="312"/>
      <c r="T2464" s="312"/>
    </row>
    <row r="2465" spans="6:20" x14ac:dyDescent="0.2">
      <c r="F2465" s="312"/>
      <c r="M2465" s="312"/>
      <c r="T2465" s="312"/>
    </row>
    <row r="2466" spans="6:20" x14ac:dyDescent="0.2">
      <c r="F2466" s="312"/>
      <c r="M2466" s="312"/>
      <c r="T2466" s="312"/>
    </row>
    <row r="2467" spans="6:20" x14ac:dyDescent="0.2">
      <c r="F2467" s="312"/>
      <c r="M2467" s="312"/>
      <c r="T2467" s="312"/>
    </row>
    <row r="2468" spans="6:20" x14ac:dyDescent="0.2">
      <c r="F2468" s="312"/>
      <c r="M2468" s="312"/>
      <c r="T2468" s="312"/>
    </row>
    <row r="2469" spans="6:20" x14ac:dyDescent="0.2">
      <c r="F2469" s="312"/>
      <c r="M2469" s="312"/>
      <c r="T2469" s="312"/>
    </row>
    <row r="2470" spans="6:20" x14ac:dyDescent="0.2">
      <c r="F2470" s="312"/>
      <c r="M2470" s="312"/>
      <c r="T2470" s="312"/>
    </row>
    <row r="2471" spans="6:20" x14ac:dyDescent="0.2">
      <c r="F2471" s="312"/>
      <c r="M2471" s="312"/>
      <c r="T2471" s="312"/>
    </row>
    <row r="2472" spans="6:20" x14ac:dyDescent="0.2">
      <c r="F2472" s="312"/>
      <c r="M2472" s="312"/>
      <c r="T2472" s="312"/>
    </row>
    <row r="2473" spans="6:20" x14ac:dyDescent="0.2">
      <c r="F2473" s="312"/>
      <c r="M2473" s="312"/>
      <c r="T2473" s="312"/>
    </row>
    <row r="2474" spans="6:20" x14ac:dyDescent="0.2">
      <c r="F2474" s="312"/>
      <c r="M2474" s="312"/>
      <c r="T2474" s="312"/>
    </row>
    <row r="2475" spans="6:20" x14ac:dyDescent="0.2">
      <c r="F2475" s="312"/>
      <c r="M2475" s="312"/>
      <c r="T2475" s="312"/>
    </row>
    <row r="2476" spans="6:20" x14ac:dyDescent="0.2">
      <c r="F2476" s="312"/>
      <c r="M2476" s="312"/>
      <c r="T2476" s="312"/>
    </row>
    <row r="2477" spans="6:20" x14ac:dyDescent="0.2">
      <c r="F2477" s="312"/>
      <c r="M2477" s="312"/>
      <c r="T2477" s="312"/>
    </row>
    <row r="2478" spans="6:20" x14ac:dyDescent="0.2">
      <c r="F2478" s="312"/>
      <c r="M2478" s="312"/>
      <c r="T2478" s="312"/>
    </row>
    <row r="2484" spans="6:20" x14ac:dyDescent="0.2">
      <c r="F2484" s="312"/>
      <c r="M2484" s="312"/>
    </row>
    <row r="2485" spans="6:20" x14ac:dyDescent="0.2">
      <c r="F2485" s="312"/>
      <c r="M2485" s="312"/>
    </row>
    <row r="2486" spans="6:20" x14ac:dyDescent="0.2">
      <c r="F2486" s="312"/>
      <c r="M2486" s="312"/>
    </row>
    <row r="2487" spans="6:20" x14ac:dyDescent="0.2">
      <c r="F2487" s="312"/>
      <c r="M2487" s="312"/>
    </row>
    <row r="2488" spans="6:20" x14ac:dyDescent="0.2">
      <c r="F2488" s="312"/>
      <c r="M2488" s="312"/>
    </row>
    <row r="2489" spans="6:20" x14ac:dyDescent="0.2">
      <c r="F2489" s="312"/>
      <c r="M2489" s="312"/>
      <c r="T2489" s="312"/>
    </row>
    <row r="2490" spans="6:20" x14ac:dyDescent="0.2">
      <c r="F2490" s="312"/>
      <c r="M2490" s="312"/>
      <c r="T2490" s="312"/>
    </row>
    <row r="2491" spans="6:20" x14ac:dyDescent="0.2">
      <c r="F2491" s="312"/>
      <c r="M2491" s="312"/>
      <c r="T2491" s="312"/>
    </row>
    <row r="2492" spans="6:20" x14ac:dyDescent="0.2">
      <c r="F2492" s="312"/>
      <c r="M2492" s="312"/>
      <c r="T2492" s="312"/>
    </row>
    <row r="2493" spans="6:20" x14ac:dyDescent="0.2">
      <c r="F2493" s="312"/>
      <c r="M2493" s="312"/>
      <c r="T2493" s="312"/>
    </row>
    <row r="2494" spans="6:20" x14ac:dyDescent="0.2">
      <c r="F2494" s="312"/>
      <c r="M2494" s="312"/>
    </row>
    <row r="2495" spans="6:20" x14ac:dyDescent="0.2">
      <c r="F2495" s="312"/>
      <c r="M2495" s="312"/>
    </row>
    <row r="2496" spans="6:20" x14ac:dyDescent="0.2">
      <c r="F2496" s="312"/>
      <c r="M2496" s="312"/>
    </row>
    <row r="2497" spans="6:20" x14ac:dyDescent="0.2">
      <c r="F2497" s="312"/>
      <c r="M2497" s="312"/>
    </row>
    <row r="2498" spans="6:20" x14ac:dyDescent="0.2">
      <c r="F2498" s="312"/>
      <c r="M2498" s="312"/>
    </row>
    <row r="2499" spans="6:20" x14ac:dyDescent="0.2">
      <c r="F2499" s="312"/>
      <c r="M2499" s="312"/>
      <c r="T2499" s="312"/>
    </row>
    <row r="2500" spans="6:20" x14ac:dyDescent="0.2">
      <c r="F2500" s="312"/>
      <c r="M2500" s="312"/>
      <c r="T2500" s="312"/>
    </row>
    <row r="2501" spans="6:20" x14ac:dyDescent="0.2">
      <c r="F2501" s="312"/>
      <c r="M2501" s="312"/>
      <c r="T2501" s="312"/>
    </row>
    <row r="2502" spans="6:20" x14ac:dyDescent="0.2">
      <c r="F2502" s="312"/>
      <c r="M2502" s="312"/>
      <c r="T2502" s="312"/>
    </row>
    <row r="2503" spans="6:20" x14ac:dyDescent="0.2">
      <c r="F2503" s="312"/>
      <c r="M2503" s="312"/>
      <c r="T2503" s="312"/>
    </row>
    <row r="2504" spans="6:20" x14ac:dyDescent="0.2">
      <c r="F2504" s="312"/>
      <c r="M2504" s="312"/>
      <c r="T2504" s="312"/>
    </row>
    <row r="2505" spans="6:20" x14ac:dyDescent="0.2">
      <c r="M2505" s="312"/>
    </row>
    <row r="2506" spans="6:20" x14ac:dyDescent="0.2">
      <c r="M2506" s="312"/>
    </row>
    <row r="2507" spans="6:20" x14ac:dyDescent="0.2">
      <c r="M2507" s="312"/>
    </row>
    <row r="2508" spans="6:20" x14ac:dyDescent="0.2">
      <c r="M2508" s="312"/>
    </row>
    <row r="2509" spans="6:20" x14ac:dyDescent="0.2">
      <c r="M2509" s="312"/>
    </row>
    <row r="2510" spans="6:20" x14ac:dyDescent="0.2">
      <c r="F2510" s="312"/>
      <c r="M2510" s="312"/>
    </row>
    <row r="2511" spans="6:20" x14ac:dyDescent="0.2">
      <c r="F2511" s="312"/>
      <c r="M2511" s="312"/>
    </row>
    <row r="2512" spans="6:20" x14ac:dyDescent="0.2">
      <c r="F2512" s="312"/>
      <c r="M2512" s="312"/>
    </row>
    <row r="2513" spans="6:20" x14ac:dyDescent="0.2">
      <c r="F2513" s="312"/>
      <c r="M2513" s="312"/>
    </row>
    <row r="2514" spans="6:20" x14ac:dyDescent="0.2">
      <c r="F2514" s="312"/>
      <c r="M2514" s="312"/>
    </row>
    <row r="2515" spans="6:20" x14ac:dyDescent="0.2">
      <c r="F2515" s="312"/>
      <c r="M2515" s="312"/>
    </row>
    <row r="2516" spans="6:20" x14ac:dyDescent="0.2">
      <c r="F2516" s="312"/>
      <c r="M2516" s="312"/>
    </row>
    <row r="2517" spans="6:20" x14ac:dyDescent="0.2">
      <c r="F2517" s="312"/>
      <c r="M2517" s="312"/>
    </row>
    <row r="2518" spans="6:20" x14ac:dyDescent="0.2">
      <c r="F2518" s="312"/>
      <c r="M2518" s="312"/>
    </row>
    <row r="2519" spans="6:20" x14ac:dyDescent="0.2">
      <c r="F2519" s="312"/>
      <c r="M2519" s="312"/>
    </row>
    <row r="2520" spans="6:20" x14ac:dyDescent="0.2">
      <c r="F2520" s="312"/>
      <c r="M2520" s="312"/>
    </row>
    <row r="2525" spans="6:20" x14ac:dyDescent="0.2">
      <c r="F2525" s="312"/>
      <c r="M2525" s="312"/>
      <c r="T2525" s="312"/>
    </row>
    <row r="2526" spans="6:20" x14ac:dyDescent="0.2">
      <c r="F2526" s="312"/>
      <c r="M2526" s="312"/>
      <c r="T2526" s="312"/>
    </row>
    <row r="2527" spans="6:20" x14ac:dyDescent="0.2">
      <c r="F2527" s="312"/>
      <c r="M2527" s="312"/>
      <c r="T2527" s="312"/>
    </row>
    <row r="2528" spans="6:20" x14ac:dyDescent="0.2">
      <c r="F2528" s="312"/>
      <c r="M2528" s="312"/>
      <c r="T2528" s="312"/>
    </row>
    <row r="2529" spans="6:20" x14ac:dyDescent="0.2">
      <c r="F2529" s="312"/>
      <c r="M2529" s="312"/>
      <c r="T2529" s="312"/>
    </row>
    <row r="2530" spans="6:20" x14ac:dyDescent="0.2">
      <c r="F2530" s="312"/>
      <c r="M2530" s="312"/>
      <c r="T2530" s="312"/>
    </row>
    <row r="2531" spans="6:20" x14ac:dyDescent="0.2">
      <c r="F2531" s="312"/>
      <c r="M2531" s="312"/>
    </row>
    <row r="2532" spans="6:20" x14ac:dyDescent="0.2">
      <c r="F2532" s="312"/>
      <c r="M2532" s="312"/>
    </row>
    <row r="2533" spans="6:20" x14ac:dyDescent="0.2">
      <c r="F2533" s="312"/>
      <c r="M2533" s="312"/>
    </row>
    <row r="2534" spans="6:20" x14ac:dyDescent="0.2">
      <c r="F2534" s="312"/>
      <c r="M2534" s="312"/>
    </row>
    <row r="2535" spans="6:20" x14ac:dyDescent="0.2">
      <c r="F2535" s="312"/>
      <c r="M2535" s="312"/>
    </row>
    <row r="2536" spans="6:20" x14ac:dyDescent="0.2">
      <c r="F2536" s="312"/>
      <c r="M2536" s="312"/>
    </row>
    <row r="2537" spans="6:20" x14ac:dyDescent="0.2">
      <c r="F2537" s="312"/>
      <c r="M2537" s="312"/>
    </row>
    <row r="2538" spans="6:20" x14ac:dyDescent="0.2">
      <c r="F2538" s="312"/>
      <c r="M2538" s="312"/>
    </row>
    <row r="2539" spans="6:20" x14ac:dyDescent="0.2">
      <c r="F2539" s="312"/>
      <c r="M2539" s="312"/>
    </row>
    <row r="2540" spans="6:20" x14ac:dyDescent="0.2">
      <c r="F2540" s="312"/>
      <c r="M2540" s="312"/>
    </row>
    <row r="2541" spans="6:20" x14ac:dyDescent="0.2">
      <c r="F2541" s="312"/>
      <c r="M2541" s="312"/>
    </row>
    <row r="2542" spans="6:20" x14ac:dyDescent="0.2">
      <c r="F2542" s="312"/>
      <c r="M2542" s="312"/>
    </row>
    <row r="2543" spans="6:20" x14ac:dyDescent="0.2">
      <c r="F2543" s="312"/>
      <c r="M2543" s="312"/>
    </row>
    <row r="2544" spans="6:20" x14ac:dyDescent="0.2">
      <c r="F2544" s="312"/>
      <c r="M2544" s="312"/>
    </row>
    <row r="2545" spans="6:20" x14ac:dyDescent="0.2">
      <c r="F2545" s="312"/>
      <c r="M2545" s="312"/>
    </row>
    <row r="2546" spans="6:20" x14ac:dyDescent="0.2">
      <c r="F2546" s="312"/>
      <c r="M2546" s="312"/>
    </row>
    <row r="2547" spans="6:20" x14ac:dyDescent="0.2">
      <c r="F2547" s="312"/>
      <c r="M2547" s="312"/>
    </row>
    <row r="2548" spans="6:20" x14ac:dyDescent="0.2">
      <c r="F2548" s="312"/>
      <c r="M2548" s="312"/>
    </row>
    <row r="2549" spans="6:20" x14ac:dyDescent="0.2">
      <c r="F2549" s="312"/>
      <c r="M2549" s="312"/>
    </row>
    <row r="2550" spans="6:20" x14ac:dyDescent="0.2">
      <c r="F2550" s="312"/>
      <c r="M2550" s="312"/>
    </row>
    <row r="2551" spans="6:20" x14ac:dyDescent="0.2">
      <c r="F2551" s="312"/>
      <c r="M2551" s="312"/>
      <c r="T2551" s="312"/>
    </row>
    <row r="2552" spans="6:20" x14ac:dyDescent="0.2">
      <c r="F2552" s="312"/>
      <c r="M2552" s="312"/>
      <c r="T2552" s="312"/>
    </row>
    <row r="2553" spans="6:20" x14ac:dyDescent="0.2">
      <c r="F2553" s="312"/>
      <c r="M2553" s="312"/>
      <c r="T2553" s="312"/>
    </row>
    <row r="2554" spans="6:20" x14ac:dyDescent="0.2">
      <c r="F2554" s="312"/>
      <c r="M2554" s="312"/>
      <c r="T2554" s="312"/>
    </row>
    <row r="2555" spans="6:20" x14ac:dyDescent="0.2">
      <c r="F2555" s="312"/>
      <c r="M2555" s="312"/>
      <c r="T2555" s="312"/>
    </row>
    <row r="2556" spans="6:20" x14ac:dyDescent="0.2">
      <c r="F2556" s="312"/>
      <c r="M2556" s="312"/>
      <c r="T2556" s="312"/>
    </row>
    <row r="2557" spans="6:20" x14ac:dyDescent="0.2">
      <c r="F2557" s="312"/>
      <c r="M2557" s="312"/>
      <c r="T2557" s="312"/>
    </row>
    <row r="2558" spans="6:20" x14ac:dyDescent="0.2">
      <c r="F2558" s="312"/>
      <c r="M2558" s="312"/>
      <c r="T2558" s="312"/>
    </row>
    <row r="2559" spans="6:20" x14ac:dyDescent="0.2">
      <c r="F2559" s="312"/>
      <c r="M2559" s="312"/>
      <c r="T2559" s="312"/>
    </row>
    <row r="2560" spans="6:20" x14ac:dyDescent="0.2">
      <c r="F2560" s="312"/>
      <c r="M2560" s="312"/>
      <c r="T2560" s="312"/>
    </row>
    <row r="2561" spans="6:20" x14ac:dyDescent="0.2">
      <c r="F2561" s="312"/>
      <c r="M2561" s="312"/>
      <c r="T2561" s="312"/>
    </row>
    <row r="2562" spans="6:20" x14ac:dyDescent="0.2">
      <c r="F2562" s="312"/>
      <c r="M2562" s="312"/>
      <c r="T2562" s="312"/>
    </row>
    <row r="2563" spans="6:20" x14ac:dyDescent="0.2">
      <c r="F2563" s="312"/>
      <c r="M2563" s="312"/>
      <c r="T2563" s="312"/>
    </row>
    <row r="2564" spans="6:20" x14ac:dyDescent="0.2">
      <c r="F2564" s="312"/>
      <c r="M2564" s="312"/>
      <c r="T2564" s="312"/>
    </row>
    <row r="2565" spans="6:20" x14ac:dyDescent="0.2">
      <c r="F2565" s="312"/>
      <c r="M2565" s="312"/>
      <c r="T2565" s="312"/>
    </row>
    <row r="2571" spans="6:20" x14ac:dyDescent="0.2">
      <c r="F2571" s="312"/>
      <c r="M2571" s="312"/>
    </row>
    <row r="2572" spans="6:20" x14ac:dyDescent="0.2">
      <c r="F2572" s="312"/>
      <c r="M2572" s="312"/>
    </row>
    <row r="2573" spans="6:20" x14ac:dyDescent="0.2">
      <c r="F2573" s="312"/>
      <c r="M2573" s="312"/>
    </row>
    <row r="2574" spans="6:20" x14ac:dyDescent="0.2">
      <c r="F2574" s="312"/>
      <c r="M2574" s="312"/>
    </row>
    <row r="2575" spans="6:20" x14ac:dyDescent="0.2">
      <c r="F2575" s="312"/>
      <c r="M2575" s="312"/>
    </row>
    <row r="2576" spans="6:20" x14ac:dyDescent="0.2">
      <c r="F2576" s="312"/>
      <c r="M2576" s="312"/>
    </row>
    <row r="2577" spans="6:20" x14ac:dyDescent="0.2">
      <c r="F2577" s="312"/>
      <c r="M2577" s="312"/>
    </row>
    <row r="2578" spans="6:20" x14ac:dyDescent="0.2">
      <c r="F2578" s="312"/>
      <c r="M2578" s="312"/>
    </row>
    <row r="2579" spans="6:20" x14ac:dyDescent="0.2">
      <c r="F2579" s="312"/>
      <c r="M2579" s="312"/>
    </row>
    <row r="2580" spans="6:20" x14ac:dyDescent="0.2">
      <c r="F2580" s="312"/>
      <c r="M2580" s="312"/>
    </row>
    <row r="2581" spans="6:20" x14ac:dyDescent="0.2">
      <c r="F2581" s="312"/>
      <c r="M2581" s="312"/>
    </row>
    <row r="2582" spans="6:20" x14ac:dyDescent="0.2">
      <c r="F2582" s="312"/>
      <c r="M2582" s="312"/>
    </row>
    <row r="2583" spans="6:20" x14ac:dyDescent="0.2">
      <c r="F2583" s="312"/>
      <c r="M2583" s="312"/>
    </row>
    <row r="2584" spans="6:20" x14ac:dyDescent="0.2">
      <c r="F2584" s="312"/>
      <c r="M2584" s="312"/>
    </row>
    <row r="2585" spans="6:20" x14ac:dyDescent="0.2">
      <c r="F2585" s="312"/>
      <c r="M2585" s="312"/>
    </row>
    <row r="2586" spans="6:20" x14ac:dyDescent="0.2">
      <c r="F2586" s="312"/>
      <c r="M2586" s="312"/>
      <c r="T2586" s="312"/>
    </row>
    <row r="2587" spans="6:20" x14ac:dyDescent="0.2">
      <c r="F2587" s="312"/>
      <c r="M2587" s="312"/>
      <c r="T2587" s="312"/>
    </row>
    <row r="2588" spans="6:20" x14ac:dyDescent="0.2">
      <c r="F2588" s="312"/>
      <c r="M2588" s="312"/>
      <c r="T2588" s="312"/>
    </row>
    <row r="2589" spans="6:20" x14ac:dyDescent="0.2">
      <c r="F2589" s="312"/>
      <c r="M2589" s="312"/>
      <c r="T2589" s="312"/>
    </row>
    <row r="2590" spans="6:20" x14ac:dyDescent="0.2">
      <c r="F2590" s="312"/>
      <c r="M2590" s="312"/>
      <c r="T2590" s="312"/>
    </row>
    <row r="2591" spans="6:20" x14ac:dyDescent="0.2">
      <c r="F2591" s="312"/>
      <c r="M2591" s="312"/>
      <c r="T2591" s="312"/>
    </row>
    <row r="2592" spans="6:20" x14ac:dyDescent="0.2">
      <c r="F2592" s="312"/>
      <c r="M2592" s="312"/>
      <c r="T2592" s="312"/>
    </row>
    <row r="2593" spans="6:20" x14ac:dyDescent="0.2">
      <c r="F2593" s="312"/>
      <c r="M2593" s="312"/>
      <c r="T2593" s="312"/>
    </row>
    <row r="2594" spans="6:20" x14ac:dyDescent="0.2">
      <c r="F2594" s="312"/>
      <c r="M2594" s="312"/>
      <c r="T2594" s="312"/>
    </row>
    <row r="2595" spans="6:20" x14ac:dyDescent="0.2">
      <c r="F2595" s="312"/>
      <c r="M2595" s="312"/>
      <c r="T2595" s="312"/>
    </row>
    <row r="2596" spans="6:20" x14ac:dyDescent="0.2">
      <c r="F2596" s="312"/>
      <c r="M2596" s="312"/>
    </row>
    <row r="2602" spans="6:20" x14ac:dyDescent="0.2">
      <c r="F2602" s="312"/>
      <c r="M2602" s="312"/>
    </row>
    <row r="2603" spans="6:20" x14ac:dyDescent="0.2">
      <c r="F2603" s="312"/>
      <c r="M2603" s="312"/>
    </row>
    <row r="2604" spans="6:20" x14ac:dyDescent="0.2">
      <c r="F2604" s="312"/>
      <c r="M2604" s="312"/>
    </row>
    <row r="2605" spans="6:20" x14ac:dyDescent="0.2">
      <c r="F2605" s="312"/>
      <c r="M2605" s="312"/>
    </row>
    <row r="2606" spans="6:20" x14ac:dyDescent="0.2">
      <c r="F2606" s="312"/>
      <c r="M2606" s="312"/>
    </row>
    <row r="2607" spans="6:20" x14ac:dyDescent="0.2">
      <c r="F2607" s="312"/>
      <c r="M2607" s="312"/>
    </row>
    <row r="2608" spans="6:20" x14ac:dyDescent="0.2">
      <c r="F2608" s="312"/>
      <c r="M2608" s="312"/>
    </row>
    <row r="2609" spans="6:20" x14ac:dyDescent="0.2">
      <c r="F2609" s="312"/>
      <c r="M2609" s="312"/>
    </row>
    <row r="2610" spans="6:20" x14ac:dyDescent="0.2">
      <c r="F2610" s="312"/>
      <c r="M2610" s="312"/>
    </row>
    <row r="2611" spans="6:20" x14ac:dyDescent="0.2">
      <c r="F2611" s="312"/>
      <c r="M2611" s="312"/>
    </row>
    <row r="2612" spans="6:20" x14ac:dyDescent="0.2">
      <c r="F2612" s="312"/>
      <c r="M2612" s="312"/>
    </row>
    <row r="2616" spans="6:20" x14ac:dyDescent="0.2">
      <c r="F2616" s="312"/>
      <c r="M2616" s="312"/>
      <c r="T2616" s="312"/>
    </row>
    <row r="2617" spans="6:20" x14ac:dyDescent="0.2">
      <c r="F2617" s="312"/>
      <c r="M2617" s="312"/>
      <c r="T2617" s="312"/>
    </row>
    <row r="2618" spans="6:20" x14ac:dyDescent="0.2">
      <c r="F2618" s="312"/>
      <c r="M2618" s="312"/>
      <c r="T2618" s="312"/>
    </row>
    <row r="2619" spans="6:20" x14ac:dyDescent="0.2">
      <c r="F2619" s="312"/>
      <c r="M2619" s="312"/>
      <c r="T2619" s="312"/>
    </row>
    <row r="2620" spans="6:20" x14ac:dyDescent="0.2">
      <c r="F2620" s="312"/>
      <c r="M2620" s="312"/>
      <c r="T2620" s="312"/>
    </row>
    <row r="2621" spans="6:20" x14ac:dyDescent="0.2">
      <c r="F2621" s="312"/>
      <c r="M2621" s="312"/>
      <c r="T2621" s="312"/>
    </row>
    <row r="2622" spans="6:20" x14ac:dyDescent="0.2">
      <c r="F2622" s="312"/>
      <c r="M2622" s="312"/>
      <c r="T2622" s="312"/>
    </row>
    <row r="2623" spans="6:20" x14ac:dyDescent="0.2">
      <c r="F2623" s="312"/>
      <c r="M2623" s="312"/>
      <c r="T2623" s="312"/>
    </row>
    <row r="2624" spans="6:20" x14ac:dyDescent="0.2">
      <c r="F2624" s="312"/>
      <c r="M2624" s="312"/>
      <c r="T2624" s="312"/>
    </row>
    <row r="2625" spans="6:20" x14ac:dyDescent="0.2">
      <c r="F2625" s="312"/>
      <c r="M2625" s="312"/>
      <c r="T2625" s="312"/>
    </row>
    <row r="2626" spans="6:20" x14ac:dyDescent="0.2">
      <c r="F2626" s="312"/>
      <c r="M2626" s="312"/>
    </row>
    <row r="2627" spans="6:20" x14ac:dyDescent="0.2">
      <c r="F2627" s="312"/>
      <c r="M2627" s="312"/>
    </row>
    <row r="2628" spans="6:20" x14ac:dyDescent="0.2">
      <c r="F2628" s="312"/>
    </row>
    <row r="2629" spans="6:20" x14ac:dyDescent="0.2">
      <c r="F2629" s="312"/>
    </row>
    <row r="2630" spans="6:20" x14ac:dyDescent="0.2">
      <c r="F2630" s="312"/>
    </row>
    <row r="2631" spans="6:20" x14ac:dyDescent="0.2">
      <c r="F2631" s="312"/>
    </row>
    <row r="2632" spans="6:20" x14ac:dyDescent="0.2">
      <c r="F2632" s="312"/>
    </row>
    <row r="2633" spans="6:20" x14ac:dyDescent="0.2">
      <c r="F2633" s="312"/>
      <c r="M2633" s="312"/>
    </row>
    <row r="2638" spans="6:20" x14ac:dyDescent="0.2">
      <c r="F2638" s="312"/>
      <c r="M2638" s="312"/>
    </row>
    <row r="2639" spans="6:20" x14ac:dyDescent="0.2">
      <c r="F2639" s="312"/>
      <c r="M2639" s="312"/>
    </row>
    <row r="2640" spans="6:20" x14ac:dyDescent="0.2">
      <c r="F2640" s="312"/>
      <c r="M2640" s="312"/>
    </row>
    <row r="2641" spans="6:13" x14ac:dyDescent="0.2">
      <c r="F2641" s="312"/>
      <c r="M2641" s="312"/>
    </row>
    <row r="2642" spans="6:13" x14ac:dyDescent="0.2">
      <c r="F2642" s="312"/>
      <c r="M2642" s="312"/>
    </row>
    <row r="2644" spans="6:13" x14ac:dyDescent="0.2">
      <c r="F2644" s="312"/>
    </row>
    <row r="2645" spans="6:13" x14ac:dyDescent="0.2">
      <c r="F2645" s="312"/>
    </row>
    <row r="2646" spans="6:13" x14ac:dyDescent="0.2">
      <c r="F2646" s="312"/>
    </row>
    <row r="2647" spans="6:13" x14ac:dyDescent="0.2">
      <c r="F2647" s="312"/>
    </row>
    <row r="2648" spans="6:13" x14ac:dyDescent="0.2">
      <c r="F2648" s="312"/>
    </row>
    <row r="2649" spans="6:13" x14ac:dyDescent="0.2">
      <c r="F2649" s="312"/>
      <c r="M2649" s="312"/>
    </row>
    <row r="2650" spans="6:13" x14ac:dyDescent="0.2">
      <c r="F2650" s="312"/>
      <c r="M2650" s="312"/>
    </row>
    <row r="2651" spans="6:13" x14ac:dyDescent="0.2">
      <c r="F2651" s="312"/>
      <c r="M2651" s="312"/>
    </row>
    <row r="2652" spans="6:13" x14ac:dyDescent="0.2">
      <c r="F2652" s="312"/>
      <c r="M2652" s="312"/>
    </row>
    <row r="2653" spans="6:13" x14ac:dyDescent="0.2">
      <c r="F2653" s="312"/>
      <c r="M2653" s="312"/>
    </row>
    <row r="2654" spans="6:13" x14ac:dyDescent="0.2">
      <c r="F2654" s="312"/>
      <c r="M2654" s="312"/>
    </row>
    <row r="2663" spans="6:13" x14ac:dyDescent="0.2">
      <c r="F2663" s="312"/>
      <c r="M2663" s="312"/>
    </row>
    <row r="2664" spans="6:13" x14ac:dyDescent="0.2">
      <c r="F2664" s="312"/>
      <c r="M2664" s="312"/>
    </row>
    <row r="2665" spans="6:13" x14ac:dyDescent="0.2">
      <c r="F2665" s="312"/>
      <c r="M2665" s="312"/>
    </row>
    <row r="2666" spans="6:13" x14ac:dyDescent="0.2">
      <c r="F2666" s="312"/>
      <c r="M2666" s="312"/>
    </row>
    <row r="2667" spans="6:13" x14ac:dyDescent="0.2">
      <c r="F2667" s="312"/>
      <c r="M2667" s="312"/>
    </row>
    <row r="2668" spans="6:13" x14ac:dyDescent="0.2">
      <c r="F2668" s="312"/>
      <c r="M2668" s="312"/>
    </row>
    <row r="2669" spans="6:13" x14ac:dyDescent="0.2">
      <c r="F2669" s="312"/>
      <c r="M2669" s="312"/>
    </row>
    <row r="2670" spans="6:13" x14ac:dyDescent="0.2">
      <c r="F2670" s="312"/>
      <c r="M2670" s="312"/>
    </row>
    <row r="2671" spans="6:13" x14ac:dyDescent="0.2">
      <c r="F2671" s="312"/>
      <c r="M2671" s="312"/>
    </row>
    <row r="2672" spans="6:13" x14ac:dyDescent="0.2">
      <c r="F2672" s="312"/>
      <c r="M2672" s="312"/>
    </row>
    <row r="2673" spans="6:13" x14ac:dyDescent="0.2">
      <c r="F2673" s="312"/>
      <c r="M2673" s="312"/>
    </row>
    <row r="2674" spans="6:13" x14ac:dyDescent="0.2">
      <c r="F2674" s="312"/>
    </row>
    <row r="2675" spans="6:13" x14ac:dyDescent="0.2">
      <c r="F2675" s="312"/>
      <c r="M2675" s="312"/>
    </row>
    <row r="2676" spans="6:13" x14ac:dyDescent="0.2">
      <c r="F2676" s="312"/>
      <c r="M2676" s="312"/>
    </row>
    <row r="2677" spans="6:13" x14ac:dyDescent="0.2">
      <c r="F2677" s="312"/>
      <c r="M2677" s="312"/>
    </row>
    <row r="2678" spans="6:13" x14ac:dyDescent="0.2">
      <c r="F2678" s="312"/>
      <c r="M2678" s="312"/>
    </row>
    <row r="2679" spans="6:13" x14ac:dyDescent="0.2">
      <c r="F2679" s="312"/>
      <c r="M2679" s="312"/>
    </row>
    <row r="2684" spans="6:13" x14ac:dyDescent="0.2">
      <c r="F2684" s="312"/>
    </row>
    <row r="2685" spans="6:13" x14ac:dyDescent="0.2">
      <c r="F2685" s="312"/>
    </row>
    <row r="2686" spans="6:13" x14ac:dyDescent="0.2">
      <c r="F2686" s="312"/>
    </row>
    <row r="2687" spans="6:13" x14ac:dyDescent="0.2">
      <c r="F2687" s="312"/>
    </row>
    <row r="2688" spans="6:13" x14ac:dyDescent="0.2">
      <c r="F2688" s="312"/>
    </row>
    <row r="2690" spans="6:13" x14ac:dyDescent="0.2">
      <c r="F2690" s="312"/>
      <c r="M2690" s="312"/>
    </row>
    <row r="2691" spans="6:13" x14ac:dyDescent="0.2">
      <c r="F2691" s="312"/>
      <c r="M2691" s="312"/>
    </row>
    <row r="2692" spans="6:13" x14ac:dyDescent="0.2">
      <c r="F2692" s="312"/>
      <c r="M2692" s="312"/>
    </row>
    <row r="2693" spans="6:13" x14ac:dyDescent="0.2">
      <c r="F2693" s="312"/>
      <c r="M2693" s="312"/>
    </row>
    <row r="2694" spans="6:13" x14ac:dyDescent="0.2">
      <c r="F2694" s="312"/>
      <c r="M2694" s="312"/>
    </row>
    <row r="2695" spans="6:13" x14ac:dyDescent="0.2">
      <c r="F2695" s="312"/>
      <c r="M2695" s="312"/>
    </row>
    <row r="2696" spans="6:13" x14ac:dyDescent="0.2">
      <c r="F2696" s="312"/>
      <c r="M2696" s="312"/>
    </row>
    <row r="2697" spans="6:13" x14ac:dyDescent="0.2">
      <c r="F2697" s="312"/>
      <c r="M2697" s="312"/>
    </row>
    <row r="2698" spans="6:13" x14ac:dyDescent="0.2">
      <c r="F2698" s="312"/>
      <c r="M2698" s="312"/>
    </row>
    <row r="2699" spans="6:13" x14ac:dyDescent="0.2">
      <c r="F2699" s="312"/>
      <c r="M2699" s="312"/>
    </row>
    <row r="2700" spans="6:13" x14ac:dyDescent="0.2">
      <c r="F2700" s="312"/>
      <c r="M2700" s="312"/>
    </row>
    <row r="2705" spans="6:20" x14ac:dyDescent="0.2">
      <c r="F2705" s="312"/>
    </row>
    <row r="2706" spans="6:20" x14ac:dyDescent="0.2">
      <c r="F2706" s="312"/>
      <c r="M2706" s="312"/>
      <c r="T2706" s="312"/>
    </row>
    <row r="2707" spans="6:20" x14ac:dyDescent="0.2">
      <c r="F2707" s="312"/>
      <c r="M2707" s="312"/>
      <c r="T2707" s="312"/>
    </row>
    <row r="2708" spans="6:20" x14ac:dyDescent="0.2">
      <c r="F2708" s="312"/>
      <c r="M2708" s="312"/>
      <c r="T2708" s="312"/>
    </row>
    <row r="2709" spans="6:20" x14ac:dyDescent="0.2">
      <c r="F2709" s="312"/>
      <c r="M2709" s="312"/>
      <c r="T2709" s="312"/>
    </row>
    <row r="2710" spans="6:20" x14ac:dyDescent="0.2">
      <c r="F2710" s="312"/>
      <c r="M2710" s="312"/>
      <c r="T2710" s="312"/>
    </row>
    <row r="2711" spans="6:20" x14ac:dyDescent="0.2">
      <c r="F2711" s="312"/>
      <c r="M2711" s="312"/>
      <c r="T2711" s="312"/>
    </row>
    <row r="2712" spans="6:20" x14ac:dyDescent="0.2">
      <c r="F2712" s="312"/>
      <c r="M2712" s="312"/>
      <c r="T2712" s="312"/>
    </row>
    <row r="2713" spans="6:20" x14ac:dyDescent="0.2">
      <c r="F2713" s="312"/>
      <c r="M2713" s="312"/>
      <c r="T2713" s="312"/>
    </row>
    <row r="2714" spans="6:20" x14ac:dyDescent="0.2">
      <c r="F2714" s="312"/>
      <c r="M2714" s="312"/>
      <c r="T2714" s="312"/>
    </row>
    <row r="2715" spans="6:20" x14ac:dyDescent="0.2">
      <c r="F2715" s="312"/>
      <c r="M2715" s="312"/>
      <c r="T2715" s="312"/>
    </row>
    <row r="2716" spans="6:20" x14ac:dyDescent="0.2">
      <c r="F2716" s="312"/>
      <c r="M2716" s="312"/>
    </row>
    <row r="2717" spans="6:20" x14ac:dyDescent="0.2">
      <c r="F2717" s="312"/>
      <c r="M2717" s="312"/>
    </row>
    <row r="2718" spans="6:20" x14ac:dyDescent="0.2">
      <c r="F2718" s="312"/>
      <c r="M2718" s="312"/>
    </row>
    <row r="2719" spans="6:20" x14ac:dyDescent="0.2">
      <c r="F2719" s="312"/>
      <c r="M2719" s="312"/>
    </row>
    <row r="2720" spans="6:20" x14ac:dyDescent="0.2">
      <c r="F2720" s="312"/>
      <c r="M2720" s="312"/>
    </row>
    <row r="2721" spans="6:20" x14ac:dyDescent="0.2">
      <c r="F2721" s="312"/>
      <c r="M2721" s="312"/>
    </row>
    <row r="2722" spans="6:20" x14ac:dyDescent="0.2">
      <c r="F2722" s="312"/>
      <c r="M2722" s="312"/>
    </row>
    <row r="2723" spans="6:20" x14ac:dyDescent="0.2">
      <c r="F2723" s="312"/>
      <c r="M2723" s="312"/>
    </row>
    <row r="2724" spans="6:20" x14ac:dyDescent="0.2">
      <c r="F2724" s="312"/>
      <c r="M2724" s="312"/>
    </row>
    <row r="2725" spans="6:20" x14ac:dyDescent="0.2">
      <c r="F2725" s="312"/>
      <c r="M2725" s="312"/>
    </row>
    <row r="2726" spans="6:20" x14ac:dyDescent="0.2">
      <c r="F2726" s="312"/>
      <c r="M2726" s="312"/>
    </row>
    <row r="2727" spans="6:20" x14ac:dyDescent="0.2">
      <c r="F2727" s="312"/>
      <c r="M2727" s="312"/>
    </row>
    <row r="2728" spans="6:20" x14ac:dyDescent="0.2">
      <c r="F2728" s="312"/>
      <c r="M2728" s="312"/>
    </row>
    <row r="2729" spans="6:20" x14ac:dyDescent="0.2">
      <c r="F2729" s="312"/>
      <c r="M2729" s="312"/>
    </row>
    <row r="2730" spans="6:20" x14ac:dyDescent="0.2">
      <c r="F2730" s="312"/>
      <c r="M2730" s="312"/>
    </row>
    <row r="2731" spans="6:20" x14ac:dyDescent="0.2">
      <c r="F2731" s="312"/>
      <c r="M2731" s="312"/>
    </row>
    <row r="2732" spans="6:20" x14ac:dyDescent="0.2">
      <c r="F2732" s="312"/>
    </row>
    <row r="2733" spans="6:20" x14ac:dyDescent="0.2">
      <c r="F2733" s="312"/>
    </row>
    <row r="2734" spans="6:20" x14ac:dyDescent="0.2">
      <c r="F2734" s="312"/>
    </row>
    <row r="2736" spans="6:20" x14ac:dyDescent="0.2">
      <c r="F2736" s="312"/>
      <c r="M2736" s="312"/>
      <c r="T2736" s="312"/>
    </row>
    <row r="2737" spans="6:20" x14ac:dyDescent="0.2">
      <c r="F2737" s="312"/>
      <c r="M2737" s="312"/>
      <c r="T2737" s="312"/>
    </row>
    <row r="2738" spans="6:20" x14ac:dyDescent="0.2">
      <c r="F2738" s="312"/>
      <c r="M2738" s="312"/>
      <c r="T2738" s="312"/>
    </row>
    <row r="2739" spans="6:20" x14ac:dyDescent="0.2">
      <c r="F2739" s="312"/>
      <c r="M2739" s="312"/>
      <c r="T2739" s="312"/>
    </row>
    <row r="2740" spans="6:20" x14ac:dyDescent="0.2">
      <c r="F2740" s="312"/>
      <c r="M2740" s="312"/>
      <c r="T2740" s="312"/>
    </row>
    <row r="2741" spans="6:20" x14ac:dyDescent="0.2">
      <c r="F2741" s="312"/>
      <c r="M2741" s="312"/>
      <c r="T2741" s="312"/>
    </row>
    <row r="2742" spans="6:20" x14ac:dyDescent="0.2">
      <c r="F2742" s="312"/>
      <c r="M2742" s="312"/>
      <c r="T2742" s="312"/>
    </row>
    <row r="2743" spans="6:20" x14ac:dyDescent="0.2">
      <c r="F2743" s="312"/>
      <c r="M2743" s="312"/>
      <c r="T2743" s="312"/>
    </row>
    <row r="2744" spans="6:20" x14ac:dyDescent="0.2">
      <c r="F2744" s="312"/>
      <c r="M2744" s="312"/>
      <c r="T2744" s="312"/>
    </row>
    <row r="2745" spans="6:20" x14ac:dyDescent="0.2">
      <c r="F2745" s="312"/>
      <c r="M2745" s="312"/>
      <c r="T2745" s="312"/>
    </row>
    <row r="2746" spans="6:20" x14ac:dyDescent="0.2">
      <c r="F2746" s="312"/>
      <c r="M2746" s="312"/>
    </row>
    <row r="2747" spans="6:20" x14ac:dyDescent="0.2">
      <c r="F2747" s="312"/>
      <c r="M2747" s="312"/>
    </row>
    <row r="2748" spans="6:20" x14ac:dyDescent="0.2">
      <c r="F2748" s="312"/>
      <c r="M2748" s="312"/>
    </row>
    <row r="2749" spans="6:20" x14ac:dyDescent="0.2">
      <c r="F2749" s="312"/>
      <c r="M2749" s="312"/>
    </row>
    <row r="2750" spans="6:20" x14ac:dyDescent="0.2">
      <c r="F2750" s="312"/>
      <c r="M2750" s="312"/>
    </row>
    <row r="2751" spans="6:20" x14ac:dyDescent="0.2">
      <c r="F2751" s="312"/>
      <c r="M2751" s="312"/>
    </row>
    <row r="2752" spans="6:20" x14ac:dyDescent="0.2">
      <c r="F2752" s="312"/>
      <c r="M2752" s="312"/>
    </row>
    <row r="2761" spans="6:20" x14ac:dyDescent="0.2">
      <c r="F2761" s="312"/>
      <c r="M2761" s="312"/>
    </row>
    <row r="2762" spans="6:20" x14ac:dyDescent="0.2">
      <c r="F2762" s="312"/>
      <c r="M2762" s="312"/>
    </row>
    <row r="2763" spans="6:20" x14ac:dyDescent="0.2">
      <c r="F2763" s="312"/>
      <c r="M2763" s="312"/>
    </row>
    <row r="2764" spans="6:20" x14ac:dyDescent="0.2">
      <c r="F2764" s="312"/>
      <c r="M2764" s="312"/>
    </row>
    <row r="2765" spans="6:20" x14ac:dyDescent="0.2">
      <c r="F2765" s="312"/>
      <c r="M2765" s="312"/>
    </row>
    <row r="2766" spans="6:20" x14ac:dyDescent="0.2">
      <c r="F2766" s="312"/>
      <c r="M2766" s="312"/>
      <c r="T2766" s="312"/>
    </row>
    <row r="2767" spans="6:20" x14ac:dyDescent="0.2">
      <c r="F2767" s="312"/>
      <c r="M2767" s="312"/>
      <c r="T2767" s="312"/>
    </row>
    <row r="2768" spans="6:20" x14ac:dyDescent="0.2">
      <c r="F2768" s="312"/>
      <c r="M2768" s="312"/>
      <c r="T2768" s="312"/>
    </row>
    <row r="2769" spans="6:20" x14ac:dyDescent="0.2">
      <c r="F2769" s="312"/>
      <c r="M2769" s="312"/>
      <c r="T2769" s="312"/>
    </row>
    <row r="2770" spans="6:20" x14ac:dyDescent="0.2">
      <c r="F2770" s="312"/>
      <c r="M2770" s="312"/>
      <c r="T2770" s="312"/>
    </row>
    <row r="2771" spans="6:20" x14ac:dyDescent="0.2">
      <c r="F2771" s="312"/>
      <c r="M2771" s="312"/>
      <c r="T2771" s="312"/>
    </row>
    <row r="2772" spans="6:20" x14ac:dyDescent="0.2">
      <c r="F2772" s="312"/>
      <c r="M2772" s="312"/>
      <c r="T2772" s="312"/>
    </row>
    <row r="2773" spans="6:20" x14ac:dyDescent="0.2">
      <c r="F2773" s="312"/>
      <c r="M2773" s="312"/>
      <c r="T2773" s="312"/>
    </row>
    <row r="2774" spans="6:20" x14ac:dyDescent="0.2">
      <c r="F2774" s="312"/>
      <c r="M2774" s="312"/>
      <c r="T2774" s="312"/>
    </row>
    <row r="2775" spans="6:20" x14ac:dyDescent="0.2">
      <c r="F2775" s="312"/>
      <c r="M2775" s="312"/>
      <c r="T2775" s="312"/>
    </row>
    <row r="2779" spans="6:20" x14ac:dyDescent="0.2">
      <c r="F2779" s="312"/>
      <c r="M2779" s="312"/>
    </row>
    <row r="2780" spans="6:20" x14ac:dyDescent="0.2">
      <c r="F2780" s="312"/>
      <c r="M2780" s="312"/>
    </row>
    <row r="2781" spans="6:20" x14ac:dyDescent="0.2">
      <c r="F2781" s="312"/>
      <c r="M2781" s="312"/>
    </row>
    <row r="2782" spans="6:20" x14ac:dyDescent="0.2">
      <c r="F2782" s="312"/>
      <c r="M2782" s="312"/>
    </row>
    <row r="2783" spans="6:20" x14ac:dyDescent="0.2">
      <c r="F2783" s="312"/>
      <c r="M2783" s="312"/>
    </row>
    <row r="2784" spans="6:20" x14ac:dyDescent="0.2">
      <c r="F2784" s="312"/>
      <c r="M2784" s="312"/>
    </row>
    <row r="2785" spans="6:13" x14ac:dyDescent="0.2">
      <c r="F2785" s="312"/>
      <c r="M2785" s="312"/>
    </row>
    <row r="2786" spans="6:13" x14ac:dyDescent="0.2">
      <c r="F2786" s="312"/>
      <c r="M2786" s="312"/>
    </row>
    <row r="2787" spans="6:13" x14ac:dyDescent="0.2">
      <c r="F2787" s="312"/>
      <c r="M2787" s="312"/>
    </row>
    <row r="2788" spans="6:13" x14ac:dyDescent="0.2">
      <c r="F2788" s="312"/>
      <c r="M2788" s="312"/>
    </row>
    <row r="2789" spans="6:13" x14ac:dyDescent="0.2">
      <c r="F2789" s="312"/>
      <c r="M2789" s="312"/>
    </row>
    <row r="2790" spans="6:13" x14ac:dyDescent="0.2">
      <c r="F2790" s="312"/>
      <c r="M2790" s="312"/>
    </row>
    <row r="2791" spans="6:13" x14ac:dyDescent="0.2">
      <c r="F2791" s="312"/>
      <c r="M2791" s="312"/>
    </row>
    <row r="2792" spans="6:13" x14ac:dyDescent="0.2">
      <c r="F2792" s="312"/>
      <c r="M2792" s="312"/>
    </row>
    <row r="2793" spans="6:13" x14ac:dyDescent="0.2">
      <c r="F2793" s="312"/>
      <c r="M2793" s="312"/>
    </row>
    <row r="2794" spans="6:13" x14ac:dyDescent="0.2">
      <c r="F2794" s="312"/>
      <c r="M2794" s="312"/>
    </row>
    <row r="2795" spans="6:13" x14ac:dyDescent="0.2">
      <c r="F2795" s="312"/>
      <c r="M2795" s="312"/>
    </row>
    <row r="2796" spans="6:13" x14ac:dyDescent="0.2">
      <c r="F2796" s="312"/>
      <c r="M2796" s="312"/>
    </row>
    <row r="2797" spans="6:13" x14ac:dyDescent="0.2">
      <c r="F2797" s="312"/>
      <c r="M2797" s="312"/>
    </row>
    <row r="2798" spans="6:13" x14ac:dyDescent="0.2">
      <c r="F2798" s="312"/>
      <c r="M2798" s="312"/>
    </row>
    <row r="2799" spans="6:13" x14ac:dyDescent="0.2">
      <c r="F2799" s="312"/>
      <c r="M2799" s="312"/>
    </row>
    <row r="2800" spans="6:13" x14ac:dyDescent="0.2">
      <c r="F2800" s="312"/>
      <c r="M2800" s="312"/>
    </row>
    <row r="2801" spans="6:13" x14ac:dyDescent="0.2">
      <c r="F2801" s="312"/>
      <c r="M2801" s="312"/>
    </row>
    <row r="2802" spans="6:13" x14ac:dyDescent="0.2">
      <c r="F2802" s="312"/>
      <c r="M2802" s="312"/>
    </row>
    <row r="2803" spans="6:13" x14ac:dyDescent="0.2">
      <c r="F2803" s="312"/>
      <c r="M2803" s="312"/>
    </row>
    <row r="2804" spans="6:13" x14ac:dyDescent="0.2">
      <c r="F2804" s="312"/>
      <c r="M2804" s="312"/>
    </row>
    <row r="2805" spans="6:13" x14ac:dyDescent="0.2">
      <c r="F2805" s="312"/>
      <c r="M2805" s="312"/>
    </row>
    <row r="2806" spans="6:13" x14ac:dyDescent="0.2">
      <c r="F2806" s="312"/>
      <c r="M2806" s="312"/>
    </row>
    <row r="2807" spans="6:13" x14ac:dyDescent="0.2">
      <c r="F2807" s="312"/>
      <c r="M2807" s="312"/>
    </row>
    <row r="2808" spans="6:13" x14ac:dyDescent="0.2">
      <c r="F2808" s="312"/>
      <c r="M2808" s="312"/>
    </row>
    <row r="2809" spans="6:13" x14ac:dyDescent="0.2">
      <c r="F2809" s="312"/>
      <c r="M2809" s="312"/>
    </row>
    <row r="2810" spans="6:13" x14ac:dyDescent="0.2">
      <c r="F2810" s="312"/>
    </row>
    <row r="2811" spans="6:13" x14ac:dyDescent="0.2">
      <c r="F2811" s="312"/>
    </row>
    <row r="2812" spans="6:13" x14ac:dyDescent="0.2">
      <c r="F2812" s="312"/>
    </row>
    <row r="2813" spans="6:13" x14ac:dyDescent="0.2">
      <c r="F2813" s="312"/>
    </row>
    <row r="2814" spans="6:13" x14ac:dyDescent="0.2">
      <c r="F2814" s="312"/>
      <c r="M2814" s="312"/>
    </row>
    <row r="2815" spans="6:13" x14ac:dyDescent="0.2">
      <c r="F2815" s="312"/>
      <c r="M2815" s="312"/>
    </row>
    <row r="2816" spans="6:13" x14ac:dyDescent="0.2">
      <c r="F2816" s="312"/>
      <c r="M2816" s="312"/>
    </row>
    <row r="2817" spans="6:20" x14ac:dyDescent="0.2">
      <c r="F2817" s="312"/>
      <c r="M2817" s="312"/>
    </row>
    <row r="2818" spans="6:20" x14ac:dyDescent="0.2">
      <c r="F2818" s="312"/>
      <c r="M2818" s="312"/>
    </row>
    <row r="2819" spans="6:20" x14ac:dyDescent="0.2">
      <c r="F2819" s="312"/>
      <c r="M2819" s="312"/>
    </row>
    <row r="2820" spans="6:20" x14ac:dyDescent="0.2">
      <c r="F2820" s="312"/>
      <c r="M2820" s="312"/>
    </row>
    <row r="2821" spans="6:20" x14ac:dyDescent="0.2">
      <c r="F2821" s="312"/>
      <c r="M2821" s="312"/>
    </row>
    <row r="2822" spans="6:20" x14ac:dyDescent="0.2">
      <c r="F2822" s="312"/>
      <c r="M2822" s="312"/>
    </row>
    <row r="2823" spans="6:20" x14ac:dyDescent="0.2">
      <c r="F2823" s="312"/>
      <c r="M2823" s="312"/>
    </row>
    <row r="2824" spans="6:20" x14ac:dyDescent="0.2">
      <c r="F2824" s="312"/>
      <c r="M2824" s="312"/>
    </row>
    <row r="2825" spans="6:20" x14ac:dyDescent="0.2">
      <c r="F2825" s="312"/>
      <c r="M2825" s="312"/>
    </row>
    <row r="2826" spans="6:20" x14ac:dyDescent="0.2">
      <c r="F2826" s="312"/>
      <c r="M2826" s="312"/>
    </row>
    <row r="2827" spans="6:20" x14ac:dyDescent="0.2">
      <c r="F2827" s="312"/>
      <c r="M2827" s="312"/>
    </row>
    <row r="2828" spans="6:20" x14ac:dyDescent="0.2">
      <c r="F2828" s="312"/>
      <c r="M2828" s="312"/>
    </row>
    <row r="2829" spans="6:20" x14ac:dyDescent="0.2">
      <c r="F2829" s="312"/>
      <c r="M2829" s="312"/>
    </row>
    <row r="2830" spans="6:20" x14ac:dyDescent="0.2">
      <c r="F2830" s="312"/>
      <c r="M2830" s="312"/>
    </row>
    <row r="2831" spans="6:20" x14ac:dyDescent="0.2">
      <c r="F2831" s="312"/>
      <c r="M2831" s="312"/>
      <c r="T2831" s="312"/>
    </row>
    <row r="2832" spans="6:20" x14ac:dyDescent="0.2">
      <c r="F2832" s="312"/>
      <c r="M2832" s="312"/>
      <c r="T2832" s="312"/>
    </row>
    <row r="2833" spans="6:20" x14ac:dyDescent="0.2">
      <c r="F2833" s="312"/>
      <c r="M2833" s="312"/>
      <c r="T2833" s="312"/>
    </row>
    <row r="2834" spans="6:20" x14ac:dyDescent="0.2">
      <c r="F2834" s="312"/>
      <c r="M2834" s="312"/>
      <c r="T2834" s="312"/>
    </row>
    <row r="2835" spans="6:20" x14ac:dyDescent="0.2">
      <c r="F2835" s="312"/>
      <c r="M2835" s="312"/>
      <c r="T2835" s="312"/>
    </row>
    <row r="2836" spans="6:20" x14ac:dyDescent="0.2">
      <c r="F2836" s="312"/>
      <c r="M2836" s="312"/>
      <c r="T2836" s="312"/>
    </row>
    <row r="2837" spans="6:20" x14ac:dyDescent="0.2">
      <c r="F2837" s="312"/>
      <c r="M2837" s="312"/>
    </row>
    <row r="2838" spans="6:20" x14ac:dyDescent="0.2">
      <c r="F2838" s="312"/>
      <c r="M2838" s="312"/>
    </row>
    <row r="2839" spans="6:20" x14ac:dyDescent="0.2">
      <c r="F2839" s="312"/>
      <c r="M2839" s="312"/>
    </row>
    <row r="2840" spans="6:20" x14ac:dyDescent="0.2">
      <c r="F2840" s="312"/>
      <c r="M2840" s="312"/>
    </row>
    <row r="2841" spans="6:20" x14ac:dyDescent="0.2">
      <c r="F2841" s="312"/>
      <c r="M2841" s="312"/>
    </row>
    <row r="2842" spans="6:20" x14ac:dyDescent="0.2">
      <c r="F2842" s="312"/>
      <c r="M2842" s="312"/>
    </row>
    <row r="2843" spans="6:20" x14ac:dyDescent="0.2">
      <c r="F2843" s="312"/>
      <c r="M2843" s="312"/>
    </row>
    <row r="2844" spans="6:20" x14ac:dyDescent="0.2">
      <c r="F2844" s="312"/>
      <c r="M2844" s="312"/>
    </row>
    <row r="2845" spans="6:20" x14ac:dyDescent="0.2">
      <c r="F2845" s="312"/>
      <c r="M2845" s="312"/>
    </row>
    <row r="2846" spans="6:20" x14ac:dyDescent="0.2">
      <c r="F2846" s="312"/>
      <c r="M2846" s="312"/>
    </row>
    <row r="2847" spans="6:20" x14ac:dyDescent="0.2">
      <c r="F2847" s="312"/>
      <c r="M2847" s="312"/>
    </row>
    <row r="2848" spans="6:20" x14ac:dyDescent="0.2">
      <c r="F2848" s="312"/>
      <c r="M2848" s="312"/>
    </row>
    <row r="2849" spans="6:13" x14ac:dyDescent="0.2">
      <c r="F2849" s="312"/>
      <c r="M2849" s="312"/>
    </row>
    <row r="2850" spans="6:13" x14ac:dyDescent="0.2">
      <c r="F2850" s="312"/>
      <c r="M2850" s="312"/>
    </row>
    <row r="2851" spans="6:13" x14ac:dyDescent="0.2">
      <c r="F2851" s="312"/>
      <c r="M2851" s="312"/>
    </row>
    <row r="2852" spans="6:13" x14ac:dyDescent="0.2">
      <c r="F2852" s="312"/>
      <c r="M2852" s="312"/>
    </row>
    <row r="2853" spans="6:13" x14ac:dyDescent="0.2">
      <c r="F2853" s="312"/>
      <c r="M2853" s="312"/>
    </row>
    <row r="2854" spans="6:13" x14ac:dyDescent="0.2">
      <c r="F2854" s="312"/>
      <c r="M2854" s="312"/>
    </row>
    <row r="2855" spans="6:13" x14ac:dyDescent="0.2">
      <c r="F2855" s="312"/>
      <c r="M2855" s="312"/>
    </row>
    <row r="2856" spans="6:13" x14ac:dyDescent="0.2">
      <c r="F2856" s="312"/>
      <c r="M2856" s="312"/>
    </row>
    <row r="2857" spans="6:13" x14ac:dyDescent="0.2">
      <c r="F2857" s="312"/>
      <c r="M2857" s="312"/>
    </row>
    <row r="2858" spans="6:13" x14ac:dyDescent="0.2">
      <c r="F2858" s="312"/>
      <c r="M2858" s="312"/>
    </row>
    <row r="2859" spans="6:13" x14ac:dyDescent="0.2">
      <c r="F2859" s="312"/>
      <c r="M2859" s="312"/>
    </row>
    <row r="2860" spans="6:13" x14ac:dyDescent="0.2">
      <c r="F2860" s="312"/>
      <c r="M2860" s="312"/>
    </row>
    <row r="2861" spans="6:13" x14ac:dyDescent="0.2">
      <c r="F2861" s="312"/>
      <c r="M2861" s="312"/>
    </row>
    <row r="2862" spans="6:13" x14ac:dyDescent="0.2">
      <c r="F2862" s="312"/>
      <c r="M2862" s="312"/>
    </row>
    <row r="2863" spans="6:13" x14ac:dyDescent="0.2">
      <c r="F2863" s="312"/>
      <c r="M2863" s="312"/>
    </row>
    <row r="2864" spans="6:13" x14ac:dyDescent="0.2">
      <c r="F2864" s="312"/>
      <c r="M2864" s="312"/>
    </row>
    <row r="2865" spans="6:13" x14ac:dyDescent="0.2">
      <c r="F2865" s="312"/>
      <c r="M2865" s="312"/>
    </row>
    <row r="2866" spans="6:13" x14ac:dyDescent="0.2">
      <c r="F2866" s="312"/>
      <c r="M2866" s="312"/>
    </row>
    <row r="2867" spans="6:13" x14ac:dyDescent="0.2">
      <c r="F2867" s="312"/>
      <c r="M2867" s="312"/>
    </row>
    <row r="2868" spans="6:13" x14ac:dyDescent="0.2">
      <c r="F2868" s="312"/>
      <c r="M2868" s="312"/>
    </row>
    <row r="2869" spans="6:13" x14ac:dyDescent="0.2">
      <c r="F2869" s="312"/>
      <c r="M2869" s="312"/>
    </row>
    <row r="2870" spans="6:13" x14ac:dyDescent="0.2">
      <c r="F2870" s="312"/>
      <c r="M2870" s="312"/>
    </row>
    <row r="2871" spans="6:13" x14ac:dyDescent="0.2">
      <c r="F2871" s="312"/>
      <c r="M2871" s="312"/>
    </row>
    <row r="2872" spans="6:13" x14ac:dyDescent="0.2">
      <c r="F2872" s="312"/>
      <c r="M2872" s="312"/>
    </row>
    <row r="2873" spans="6:13" x14ac:dyDescent="0.2">
      <c r="F2873" s="312"/>
      <c r="M2873" s="312"/>
    </row>
    <row r="2874" spans="6:13" x14ac:dyDescent="0.2">
      <c r="F2874" s="312"/>
      <c r="M2874" s="312"/>
    </row>
    <row r="2875" spans="6:13" x14ac:dyDescent="0.2">
      <c r="F2875" s="312"/>
      <c r="M2875" s="312"/>
    </row>
    <row r="2876" spans="6:13" x14ac:dyDescent="0.2">
      <c r="F2876" s="312"/>
      <c r="M2876" s="312"/>
    </row>
    <row r="2877" spans="6:13" x14ac:dyDescent="0.2">
      <c r="F2877" s="312"/>
      <c r="M2877" s="312"/>
    </row>
    <row r="2878" spans="6:13" x14ac:dyDescent="0.2">
      <c r="F2878" s="312"/>
      <c r="M2878" s="312"/>
    </row>
    <row r="2879" spans="6:13" x14ac:dyDescent="0.2">
      <c r="F2879" s="312"/>
      <c r="M2879" s="312"/>
    </row>
    <row r="2880" spans="6:13" x14ac:dyDescent="0.2">
      <c r="F2880" s="312"/>
      <c r="M2880" s="312"/>
    </row>
    <row r="2881" spans="6:13" x14ac:dyDescent="0.2">
      <c r="F2881" s="312"/>
      <c r="M2881" s="312"/>
    </row>
    <row r="2882" spans="6:13" x14ac:dyDescent="0.2">
      <c r="F2882" s="312"/>
      <c r="M2882" s="312"/>
    </row>
    <row r="2883" spans="6:13" x14ac:dyDescent="0.2">
      <c r="F2883" s="312"/>
      <c r="M2883" s="312"/>
    </row>
    <row r="2884" spans="6:13" x14ac:dyDescent="0.2">
      <c r="F2884" s="312"/>
      <c r="M2884" s="312"/>
    </row>
    <row r="2885" spans="6:13" x14ac:dyDescent="0.2">
      <c r="F2885" s="312"/>
      <c r="M2885" s="312"/>
    </row>
    <row r="2886" spans="6:13" x14ac:dyDescent="0.2">
      <c r="F2886" s="312"/>
      <c r="M2886" s="312"/>
    </row>
    <row r="2887" spans="6:13" x14ac:dyDescent="0.2">
      <c r="F2887" s="312"/>
      <c r="M2887" s="312"/>
    </row>
    <row r="2888" spans="6:13" x14ac:dyDescent="0.2">
      <c r="F2888" s="312"/>
      <c r="M2888" s="312"/>
    </row>
    <row r="2889" spans="6:13" x14ac:dyDescent="0.2">
      <c r="F2889" s="312"/>
      <c r="M2889" s="312"/>
    </row>
    <row r="2890" spans="6:13" x14ac:dyDescent="0.2">
      <c r="F2890" s="312"/>
      <c r="M2890" s="312"/>
    </row>
    <row r="2891" spans="6:13" x14ac:dyDescent="0.2">
      <c r="F2891" s="312"/>
      <c r="M2891" s="312"/>
    </row>
    <row r="2892" spans="6:13" x14ac:dyDescent="0.2">
      <c r="F2892" s="312"/>
      <c r="M2892" s="312"/>
    </row>
    <row r="2893" spans="6:13" x14ac:dyDescent="0.2">
      <c r="F2893" s="312"/>
      <c r="M2893" s="312"/>
    </row>
    <row r="2894" spans="6:13" x14ac:dyDescent="0.2">
      <c r="F2894" s="312"/>
      <c r="M2894" s="312"/>
    </row>
    <row r="2895" spans="6:13" x14ac:dyDescent="0.2">
      <c r="F2895" s="312"/>
      <c r="M2895" s="312"/>
    </row>
    <row r="2896" spans="6:13" x14ac:dyDescent="0.2">
      <c r="F2896" s="312"/>
      <c r="M2896" s="312"/>
    </row>
    <row r="2897" spans="6:13" x14ac:dyDescent="0.2">
      <c r="F2897" s="312"/>
      <c r="M2897" s="312"/>
    </row>
    <row r="2898" spans="6:13" x14ac:dyDescent="0.2">
      <c r="F2898" s="312"/>
      <c r="M2898" s="312"/>
    </row>
    <row r="2899" spans="6:13" x14ac:dyDescent="0.2">
      <c r="F2899" s="312"/>
      <c r="M2899" s="312"/>
    </row>
    <row r="2900" spans="6:13" x14ac:dyDescent="0.2">
      <c r="F2900" s="312"/>
      <c r="M2900" s="312"/>
    </row>
    <row r="2901" spans="6:13" x14ac:dyDescent="0.2">
      <c r="F2901" s="312"/>
      <c r="M2901" s="312"/>
    </row>
    <row r="2902" spans="6:13" x14ac:dyDescent="0.2">
      <c r="F2902" s="312"/>
      <c r="M2902" s="312"/>
    </row>
    <row r="2903" spans="6:13" x14ac:dyDescent="0.2">
      <c r="F2903" s="312"/>
      <c r="M2903" s="312"/>
    </row>
    <row r="2904" spans="6:13" x14ac:dyDescent="0.2">
      <c r="F2904" s="312"/>
      <c r="M2904" s="312"/>
    </row>
    <row r="2905" spans="6:13" x14ac:dyDescent="0.2">
      <c r="F2905" s="312"/>
      <c r="M2905" s="312"/>
    </row>
    <row r="2906" spans="6:13" x14ac:dyDescent="0.2">
      <c r="F2906" s="312"/>
      <c r="M2906" s="312"/>
    </row>
    <row r="2907" spans="6:13" x14ac:dyDescent="0.2">
      <c r="F2907" s="312"/>
      <c r="M2907" s="312"/>
    </row>
    <row r="2908" spans="6:13" x14ac:dyDescent="0.2">
      <c r="F2908" s="312"/>
      <c r="M2908" s="312"/>
    </row>
    <row r="2909" spans="6:13" x14ac:dyDescent="0.2">
      <c r="F2909" s="312"/>
      <c r="M2909" s="312"/>
    </row>
    <row r="2910" spans="6:13" x14ac:dyDescent="0.2">
      <c r="F2910" s="312"/>
      <c r="M2910" s="312"/>
    </row>
    <row r="2911" spans="6:13" x14ac:dyDescent="0.2">
      <c r="F2911" s="312"/>
      <c r="M2911" s="312"/>
    </row>
    <row r="2912" spans="6:13" x14ac:dyDescent="0.2">
      <c r="F2912" s="312"/>
      <c r="M2912" s="312"/>
    </row>
    <row r="2913" spans="6:13" x14ac:dyDescent="0.2">
      <c r="F2913" s="312"/>
      <c r="M2913" s="312"/>
    </row>
    <row r="2914" spans="6:13" x14ac:dyDescent="0.2">
      <c r="F2914" s="312"/>
      <c r="M2914" s="312"/>
    </row>
    <row r="2915" spans="6:13" x14ac:dyDescent="0.2">
      <c r="F2915" s="312"/>
      <c r="M2915" s="312"/>
    </row>
    <row r="2916" spans="6:13" x14ac:dyDescent="0.2">
      <c r="F2916" s="312"/>
      <c r="M2916" s="312"/>
    </row>
    <row r="2917" spans="6:13" x14ac:dyDescent="0.2">
      <c r="F2917" s="312"/>
      <c r="M2917" s="312"/>
    </row>
    <row r="2918" spans="6:13" x14ac:dyDescent="0.2">
      <c r="F2918" s="312"/>
      <c r="M2918" s="312"/>
    </row>
    <row r="2919" spans="6:13" x14ac:dyDescent="0.2">
      <c r="F2919" s="312"/>
      <c r="M2919" s="312"/>
    </row>
    <row r="2920" spans="6:13" x14ac:dyDescent="0.2">
      <c r="F2920" s="312"/>
      <c r="M2920" s="312"/>
    </row>
    <row r="2921" spans="6:13" x14ac:dyDescent="0.2">
      <c r="F2921" s="312"/>
      <c r="M2921" s="312"/>
    </row>
    <row r="2922" spans="6:13" x14ac:dyDescent="0.2">
      <c r="F2922" s="312"/>
      <c r="M2922" s="312"/>
    </row>
    <row r="2923" spans="6:13" x14ac:dyDescent="0.2">
      <c r="F2923" s="312"/>
      <c r="M2923" s="312"/>
    </row>
    <row r="2924" spans="6:13" x14ac:dyDescent="0.2">
      <c r="F2924" s="312"/>
      <c r="M2924" s="312"/>
    </row>
    <row r="2925" spans="6:13" x14ac:dyDescent="0.2">
      <c r="F2925" s="312"/>
      <c r="M2925" s="312"/>
    </row>
    <row r="2926" spans="6:13" x14ac:dyDescent="0.2">
      <c r="F2926" s="312"/>
      <c r="M2926" s="312"/>
    </row>
    <row r="2927" spans="6:13" x14ac:dyDescent="0.2">
      <c r="F2927" s="312"/>
      <c r="M2927" s="312"/>
    </row>
    <row r="2928" spans="6:13" x14ac:dyDescent="0.2">
      <c r="F2928" s="312"/>
      <c r="M2928" s="312"/>
    </row>
    <row r="2929" spans="6:13" x14ac:dyDescent="0.2">
      <c r="F2929" s="312"/>
      <c r="M2929" s="312"/>
    </row>
    <row r="2930" spans="6:13" x14ac:dyDescent="0.2">
      <c r="F2930" s="312"/>
      <c r="M2930" s="312"/>
    </row>
    <row r="2931" spans="6:13" x14ac:dyDescent="0.2">
      <c r="F2931" s="312"/>
      <c r="M2931" s="312"/>
    </row>
    <row r="2932" spans="6:13" x14ac:dyDescent="0.2">
      <c r="F2932" s="312"/>
      <c r="M2932" s="312"/>
    </row>
    <row r="2933" spans="6:13" x14ac:dyDescent="0.2">
      <c r="F2933" s="312"/>
      <c r="M2933" s="312"/>
    </row>
    <row r="2934" spans="6:13" x14ac:dyDescent="0.2">
      <c r="F2934" s="312"/>
      <c r="M2934" s="312"/>
    </row>
    <row r="2935" spans="6:13" x14ac:dyDescent="0.2">
      <c r="F2935" s="312"/>
      <c r="M2935" s="312"/>
    </row>
    <row r="2936" spans="6:13" x14ac:dyDescent="0.2">
      <c r="F2936" s="312"/>
      <c r="M2936" s="312"/>
    </row>
    <row r="2937" spans="6:13" x14ac:dyDescent="0.2">
      <c r="F2937" s="312"/>
      <c r="M2937" s="312"/>
    </row>
    <row r="2938" spans="6:13" x14ac:dyDescent="0.2">
      <c r="F2938" s="312"/>
      <c r="M2938" s="312"/>
    </row>
    <row r="2939" spans="6:13" x14ac:dyDescent="0.2">
      <c r="F2939" s="312"/>
      <c r="M2939" s="312"/>
    </row>
    <row r="2940" spans="6:13" x14ac:dyDescent="0.2">
      <c r="F2940" s="312"/>
      <c r="M2940" s="312"/>
    </row>
    <row r="2941" spans="6:13" x14ac:dyDescent="0.2">
      <c r="F2941" s="312"/>
      <c r="M2941" s="312"/>
    </row>
    <row r="2942" spans="6:13" x14ac:dyDescent="0.2">
      <c r="F2942" s="312"/>
      <c r="M2942" s="312"/>
    </row>
    <row r="2943" spans="6:13" x14ac:dyDescent="0.2">
      <c r="F2943" s="312"/>
      <c r="M2943" s="312"/>
    </row>
    <row r="2944" spans="6:13" x14ac:dyDescent="0.2">
      <c r="F2944" s="312"/>
      <c r="M2944" s="312"/>
    </row>
    <row r="2945" spans="6:13" x14ac:dyDescent="0.2">
      <c r="F2945" s="312"/>
      <c r="M2945" s="312"/>
    </row>
    <row r="2946" spans="6:13" x14ac:dyDescent="0.2">
      <c r="F2946" s="312"/>
      <c r="M2946" s="312"/>
    </row>
    <row r="2947" spans="6:13" x14ac:dyDescent="0.2">
      <c r="F2947" s="312"/>
      <c r="M2947" s="312"/>
    </row>
    <row r="2948" spans="6:13" x14ac:dyDescent="0.2">
      <c r="F2948" s="312"/>
      <c r="M2948" s="312"/>
    </row>
    <row r="2949" spans="6:13" x14ac:dyDescent="0.2">
      <c r="F2949" s="312"/>
      <c r="M2949" s="312"/>
    </row>
    <row r="2950" spans="6:13" x14ac:dyDescent="0.2">
      <c r="F2950" s="312"/>
      <c r="M2950" s="312"/>
    </row>
    <row r="2951" spans="6:13" x14ac:dyDescent="0.2">
      <c r="F2951" s="312"/>
      <c r="M2951" s="312"/>
    </row>
    <row r="2952" spans="6:13" x14ac:dyDescent="0.2">
      <c r="F2952" s="312"/>
      <c r="M2952" s="312"/>
    </row>
    <row r="2953" spans="6:13" x14ac:dyDescent="0.2">
      <c r="F2953" s="312"/>
      <c r="M2953" s="312"/>
    </row>
    <row r="2954" spans="6:13" x14ac:dyDescent="0.2">
      <c r="F2954" s="312"/>
      <c r="M2954" s="312"/>
    </row>
    <row r="2955" spans="6:13" x14ac:dyDescent="0.2">
      <c r="F2955" s="312"/>
      <c r="M2955" s="312"/>
    </row>
    <row r="2956" spans="6:13" x14ac:dyDescent="0.2">
      <c r="F2956" s="312"/>
      <c r="M2956" s="312"/>
    </row>
    <row r="2957" spans="6:13" x14ac:dyDescent="0.2">
      <c r="F2957" s="312"/>
      <c r="M2957" s="312"/>
    </row>
    <row r="2958" spans="6:13" x14ac:dyDescent="0.2">
      <c r="F2958" s="312"/>
      <c r="M2958" s="312"/>
    </row>
    <row r="2959" spans="6:13" x14ac:dyDescent="0.2">
      <c r="F2959" s="312"/>
      <c r="M2959" s="312"/>
    </row>
    <row r="2960" spans="6:13" x14ac:dyDescent="0.2">
      <c r="F2960" s="312"/>
      <c r="M2960" s="312"/>
    </row>
    <row r="2961" spans="6:13" x14ac:dyDescent="0.2">
      <c r="F2961" s="312"/>
      <c r="M2961" s="312"/>
    </row>
    <row r="2962" spans="6:13" x14ac:dyDescent="0.2">
      <c r="F2962" s="312"/>
      <c r="M2962" s="312"/>
    </row>
    <row r="2963" spans="6:13" x14ac:dyDescent="0.2">
      <c r="F2963" s="312"/>
      <c r="M2963" s="312"/>
    </row>
    <row r="2964" spans="6:13" x14ac:dyDescent="0.2">
      <c r="F2964" s="312"/>
      <c r="M2964" s="312"/>
    </row>
    <row r="2965" spans="6:13" x14ac:dyDescent="0.2">
      <c r="F2965" s="312"/>
      <c r="M2965" s="312"/>
    </row>
    <row r="2966" spans="6:13" x14ac:dyDescent="0.2">
      <c r="F2966" s="312"/>
      <c r="M2966" s="312"/>
    </row>
    <row r="2967" spans="6:13" x14ac:dyDescent="0.2">
      <c r="F2967" s="312"/>
      <c r="M2967" s="312"/>
    </row>
    <row r="2968" spans="6:13" x14ac:dyDescent="0.2">
      <c r="F2968" s="312"/>
      <c r="M2968" s="312"/>
    </row>
    <row r="2969" spans="6:13" x14ac:dyDescent="0.2">
      <c r="F2969" s="312"/>
      <c r="M2969" s="312"/>
    </row>
    <row r="2970" spans="6:13" x14ac:dyDescent="0.2">
      <c r="F2970" s="312"/>
      <c r="M2970" s="312"/>
    </row>
    <row r="2971" spans="6:13" x14ac:dyDescent="0.2">
      <c r="F2971" s="312"/>
      <c r="M2971" s="312"/>
    </row>
    <row r="2972" spans="6:13" x14ac:dyDescent="0.2">
      <c r="F2972" s="312"/>
      <c r="M2972" s="312"/>
    </row>
    <row r="2973" spans="6:13" x14ac:dyDescent="0.2">
      <c r="F2973" s="312"/>
      <c r="M2973" s="312"/>
    </row>
    <row r="2974" spans="6:13" x14ac:dyDescent="0.2">
      <c r="F2974" s="312"/>
      <c r="M2974" s="312"/>
    </row>
    <row r="2975" spans="6:13" x14ac:dyDescent="0.2">
      <c r="F2975" s="312"/>
      <c r="M2975" s="312"/>
    </row>
    <row r="2976" spans="6:13" x14ac:dyDescent="0.2">
      <c r="F2976" s="312"/>
      <c r="M2976" s="312"/>
    </row>
    <row r="2977" spans="6:13" x14ac:dyDescent="0.2">
      <c r="F2977" s="312"/>
      <c r="M2977" s="312"/>
    </row>
    <row r="2978" spans="6:13" x14ac:dyDescent="0.2">
      <c r="F2978" s="312"/>
      <c r="M2978" s="312"/>
    </row>
    <row r="2979" spans="6:13" x14ac:dyDescent="0.2">
      <c r="F2979" s="312"/>
      <c r="M2979" s="312"/>
    </row>
    <row r="2980" spans="6:13" x14ac:dyDescent="0.2">
      <c r="F2980" s="312"/>
      <c r="M2980" s="312"/>
    </row>
    <row r="2981" spans="6:13" x14ac:dyDescent="0.2">
      <c r="F2981" s="312"/>
      <c r="M2981" s="312"/>
    </row>
    <row r="2982" spans="6:13" x14ac:dyDescent="0.2">
      <c r="F2982" s="312"/>
      <c r="M2982" s="312"/>
    </row>
    <row r="2983" spans="6:13" x14ac:dyDescent="0.2">
      <c r="F2983" s="312"/>
      <c r="M2983" s="312"/>
    </row>
    <row r="2984" spans="6:13" x14ac:dyDescent="0.2">
      <c r="F2984" s="312"/>
      <c r="M2984" s="312"/>
    </row>
    <row r="2985" spans="6:13" x14ac:dyDescent="0.2">
      <c r="F2985" s="312"/>
      <c r="M2985" s="312"/>
    </row>
    <row r="2986" spans="6:13" x14ac:dyDescent="0.2">
      <c r="F2986" s="312"/>
      <c r="M2986" s="312"/>
    </row>
    <row r="2987" spans="6:13" x14ac:dyDescent="0.2">
      <c r="F2987" s="312"/>
      <c r="M2987" s="312"/>
    </row>
    <row r="2988" spans="6:13" x14ac:dyDescent="0.2">
      <c r="F2988" s="312"/>
      <c r="M2988" s="312"/>
    </row>
    <row r="2989" spans="6:13" x14ac:dyDescent="0.2">
      <c r="F2989" s="312"/>
      <c r="M2989" s="312"/>
    </row>
    <row r="2990" spans="6:13" x14ac:dyDescent="0.2">
      <c r="F2990" s="312"/>
      <c r="M2990" s="312"/>
    </row>
    <row r="2991" spans="6:13" x14ac:dyDescent="0.2">
      <c r="F2991" s="312"/>
      <c r="M2991" s="312"/>
    </row>
    <row r="2992" spans="6:13" x14ac:dyDescent="0.2">
      <c r="F2992" s="312"/>
      <c r="M2992" s="312"/>
    </row>
    <row r="2993" spans="6:13" x14ac:dyDescent="0.2">
      <c r="F2993" s="312"/>
      <c r="M2993" s="312"/>
    </row>
    <row r="2994" spans="6:13" x14ac:dyDescent="0.2">
      <c r="F2994" s="312"/>
      <c r="M2994" s="312"/>
    </row>
    <row r="2995" spans="6:13" x14ac:dyDescent="0.2">
      <c r="F2995" s="312"/>
      <c r="M2995" s="312"/>
    </row>
    <row r="2996" spans="6:13" x14ac:dyDescent="0.2">
      <c r="F2996" s="312"/>
      <c r="M2996" s="312"/>
    </row>
    <row r="2997" spans="6:13" x14ac:dyDescent="0.2">
      <c r="F2997" s="312"/>
      <c r="M2997" s="312"/>
    </row>
    <row r="2998" spans="6:13" x14ac:dyDescent="0.2">
      <c r="F2998" s="312"/>
      <c r="M2998" s="312"/>
    </row>
    <row r="2999" spans="6:13" x14ac:dyDescent="0.2">
      <c r="F2999" s="312"/>
      <c r="M2999" s="312"/>
    </row>
    <row r="3000" spans="6:13" x14ac:dyDescent="0.2">
      <c r="F3000" s="312"/>
      <c r="M3000" s="312"/>
    </row>
    <row r="3001" spans="6:13" x14ac:dyDescent="0.2">
      <c r="F3001" s="312"/>
      <c r="M3001" s="312"/>
    </row>
    <row r="3002" spans="6:13" x14ac:dyDescent="0.2">
      <c r="F3002" s="312"/>
      <c r="M3002" s="312"/>
    </row>
    <row r="3003" spans="6:13" x14ac:dyDescent="0.2">
      <c r="F3003" s="312"/>
      <c r="M3003" s="312"/>
    </row>
    <row r="3004" spans="6:13" x14ac:dyDescent="0.2">
      <c r="F3004" s="312"/>
      <c r="M3004" s="312"/>
    </row>
    <row r="3005" spans="6:13" x14ac:dyDescent="0.2">
      <c r="F3005" s="312"/>
      <c r="M3005" s="312"/>
    </row>
    <row r="3006" spans="6:13" x14ac:dyDescent="0.2">
      <c r="F3006" s="312"/>
      <c r="M3006" s="312"/>
    </row>
    <row r="3007" spans="6:13" x14ac:dyDescent="0.2">
      <c r="F3007" s="312"/>
      <c r="M3007" s="312"/>
    </row>
    <row r="3008" spans="6:13" x14ac:dyDescent="0.2">
      <c r="F3008" s="312"/>
      <c r="M3008" s="312"/>
    </row>
    <row r="3009" spans="6:13" x14ac:dyDescent="0.2">
      <c r="F3009" s="312"/>
      <c r="M3009" s="312"/>
    </row>
    <row r="3010" spans="6:13" x14ac:dyDescent="0.2">
      <c r="F3010" s="312"/>
      <c r="M3010" s="312"/>
    </row>
    <row r="3011" spans="6:13" x14ac:dyDescent="0.2">
      <c r="F3011" s="312"/>
      <c r="M3011" s="312"/>
    </row>
    <row r="3012" spans="6:13" x14ac:dyDescent="0.2">
      <c r="F3012" s="312"/>
      <c r="M3012" s="312"/>
    </row>
    <row r="3013" spans="6:13" x14ac:dyDescent="0.2">
      <c r="F3013" s="312"/>
      <c r="M3013" s="312"/>
    </row>
    <row r="3014" spans="6:13" x14ac:dyDescent="0.2">
      <c r="F3014" s="312"/>
      <c r="M3014" s="312"/>
    </row>
    <row r="3025" spans="6:13" x14ac:dyDescent="0.2">
      <c r="F3025" s="312"/>
      <c r="M3025" s="312"/>
    </row>
    <row r="3026" spans="6:13" x14ac:dyDescent="0.2">
      <c r="F3026" s="312"/>
      <c r="M3026" s="312"/>
    </row>
    <row r="3027" spans="6:13" x14ac:dyDescent="0.2">
      <c r="F3027" s="312"/>
      <c r="M3027" s="312"/>
    </row>
    <row r="3028" spans="6:13" x14ac:dyDescent="0.2">
      <c r="F3028" s="312"/>
      <c r="M3028" s="312"/>
    </row>
    <row r="3029" spans="6:13" x14ac:dyDescent="0.2">
      <c r="F3029" s="312"/>
      <c r="M3029" s="312"/>
    </row>
    <row r="3030" spans="6:13" x14ac:dyDescent="0.2">
      <c r="F3030" s="312"/>
      <c r="M3030" s="312"/>
    </row>
    <row r="3031" spans="6:13" x14ac:dyDescent="0.2">
      <c r="F3031" s="312"/>
      <c r="M3031" s="312"/>
    </row>
    <row r="3032" spans="6:13" x14ac:dyDescent="0.2">
      <c r="F3032" s="312"/>
      <c r="M3032" s="312"/>
    </row>
    <row r="3033" spans="6:13" x14ac:dyDescent="0.2">
      <c r="F3033" s="312"/>
      <c r="M3033" s="312"/>
    </row>
    <row r="3034" spans="6:13" x14ac:dyDescent="0.2">
      <c r="F3034" s="312"/>
      <c r="M3034" s="312"/>
    </row>
    <row r="3035" spans="6:13" x14ac:dyDescent="0.2">
      <c r="F3035" s="312"/>
      <c r="M3035" s="312"/>
    </row>
    <row r="3036" spans="6:13" x14ac:dyDescent="0.2">
      <c r="F3036" s="312"/>
      <c r="M3036" s="312"/>
    </row>
    <row r="3037" spans="6:13" x14ac:dyDescent="0.2">
      <c r="F3037" s="312"/>
      <c r="M3037" s="312"/>
    </row>
    <row r="3038" spans="6:13" x14ac:dyDescent="0.2">
      <c r="F3038" s="312"/>
      <c r="M3038" s="312"/>
    </row>
    <row r="3039" spans="6:13" x14ac:dyDescent="0.2">
      <c r="F3039" s="312"/>
      <c r="M3039" s="312"/>
    </row>
    <row r="3040" spans="6:13" x14ac:dyDescent="0.2">
      <c r="F3040" s="312"/>
      <c r="M3040" s="312"/>
    </row>
    <row r="3041" spans="6:13" x14ac:dyDescent="0.2">
      <c r="F3041" s="312"/>
      <c r="M3041" s="312"/>
    </row>
    <row r="3042" spans="6:13" x14ac:dyDescent="0.2">
      <c r="F3042" s="312"/>
      <c r="M3042" s="312"/>
    </row>
    <row r="3043" spans="6:13" x14ac:dyDescent="0.2">
      <c r="F3043" s="312"/>
      <c r="M3043" s="312"/>
    </row>
    <row r="3044" spans="6:13" x14ac:dyDescent="0.2">
      <c r="F3044" s="312"/>
      <c r="M3044" s="312"/>
    </row>
    <row r="3045" spans="6:13" x14ac:dyDescent="0.2">
      <c r="F3045" s="312"/>
      <c r="M3045" s="312"/>
    </row>
    <row r="3046" spans="6:13" x14ac:dyDescent="0.2">
      <c r="F3046" s="312"/>
      <c r="M3046" s="312"/>
    </row>
    <row r="3047" spans="6:13" x14ac:dyDescent="0.2">
      <c r="F3047" s="312"/>
      <c r="M3047" s="312"/>
    </row>
    <row r="3048" spans="6:13" x14ac:dyDescent="0.2">
      <c r="F3048" s="312"/>
      <c r="M3048" s="312"/>
    </row>
    <row r="3049" spans="6:13" x14ac:dyDescent="0.2">
      <c r="F3049" s="312"/>
      <c r="M3049" s="312"/>
    </row>
    <row r="3050" spans="6:13" x14ac:dyDescent="0.2">
      <c r="F3050" s="312"/>
      <c r="M3050" s="312"/>
    </row>
    <row r="3051" spans="6:13" x14ac:dyDescent="0.2">
      <c r="F3051" s="312"/>
      <c r="M3051" s="312"/>
    </row>
    <row r="3052" spans="6:13" x14ac:dyDescent="0.2">
      <c r="F3052" s="312"/>
      <c r="M3052" s="312"/>
    </row>
    <row r="3053" spans="6:13" x14ac:dyDescent="0.2">
      <c r="F3053" s="312"/>
      <c r="M3053" s="312"/>
    </row>
    <row r="3054" spans="6:13" x14ac:dyDescent="0.2">
      <c r="F3054" s="312"/>
      <c r="M3054" s="312"/>
    </row>
    <row r="3055" spans="6:13" x14ac:dyDescent="0.2">
      <c r="F3055" s="312"/>
      <c r="M3055" s="312"/>
    </row>
    <row r="3056" spans="6:13" x14ac:dyDescent="0.2">
      <c r="F3056" s="312"/>
      <c r="M3056" s="312"/>
    </row>
    <row r="3059" spans="6:13" x14ac:dyDescent="0.2">
      <c r="F3059" s="312"/>
      <c r="M3059" s="312"/>
    </row>
    <row r="3060" spans="6:13" x14ac:dyDescent="0.2">
      <c r="F3060" s="312"/>
      <c r="M3060" s="312"/>
    </row>
    <row r="3061" spans="6:13" x14ac:dyDescent="0.2">
      <c r="F3061" s="312"/>
      <c r="M3061" s="312"/>
    </row>
    <row r="3062" spans="6:13" x14ac:dyDescent="0.2">
      <c r="F3062" s="312"/>
      <c r="M3062" s="312"/>
    </row>
    <row r="3063" spans="6:13" x14ac:dyDescent="0.2">
      <c r="F3063" s="312"/>
      <c r="M3063" s="312"/>
    </row>
    <row r="3064" spans="6:13" x14ac:dyDescent="0.2">
      <c r="F3064" s="312"/>
    </row>
    <row r="3065" spans="6:13" x14ac:dyDescent="0.2">
      <c r="F3065" s="312"/>
    </row>
    <row r="3066" spans="6:13" x14ac:dyDescent="0.2">
      <c r="F3066" s="312"/>
    </row>
    <row r="3067" spans="6:13" x14ac:dyDescent="0.2">
      <c r="F3067" s="312"/>
      <c r="M3067" s="312"/>
    </row>
    <row r="3068" spans="6:13" x14ac:dyDescent="0.2">
      <c r="F3068" s="312"/>
      <c r="M3068" s="312"/>
    </row>
    <row r="3069" spans="6:13" x14ac:dyDescent="0.2">
      <c r="F3069" s="312"/>
      <c r="M3069" s="312"/>
    </row>
    <row r="3070" spans="6:13" x14ac:dyDescent="0.2">
      <c r="F3070" s="312"/>
      <c r="M3070" s="312"/>
    </row>
    <row r="3071" spans="6:13" x14ac:dyDescent="0.2">
      <c r="F3071" s="312"/>
      <c r="M3071" s="312"/>
    </row>
    <row r="3072" spans="6:13" x14ac:dyDescent="0.2">
      <c r="F3072" s="312"/>
      <c r="M3072" s="312"/>
    </row>
    <row r="3073" spans="6:13" x14ac:dyDescent="0.2">
      <c r="F3073" s="312"/>
      <c r="M3073" s="312"/>
    </row>
    <row r="3074" spans="6:13" x14ac:dyDescent="0.2">
      <c r="F3074" s="312"/>
      <c r="M3074" s="312"/>
    </row>
    <row r="3075" spans="6:13" x14ac:dyDescent="0.2">
      <c r="F3075" s="312"/>
      <c r="M3075" s="312"/>
    </row>
    <row r="3076" spans="6:13" x14ac:dyDescent="0.2">
      <c r="F3076" s="312"/>
      <c r="M3076" s="312"/>
    </row>
    <row r="3077" spans="6:13" x14ac:dyDescent="0.2">
      <c r="F3077" s="312"/>
      <c r="M3077" s="312"/>
    </row>
    <row r="3078" spans="6:13" x14ac:dyDescent="0.2">
      <c r="F3078" s="312"/>
      <c r="M3078" s="312"/>
    </row>
    <row r="3079" spans="6:13" x14ac:dyDescent="0.2">
      <c r="F3079" s="312"/>
      <c r="M3079" s="312"/>
    </row>
    <row r="3080" spans="6:13" x14ac:dyDescent="0.2">
      <c r="F3080" s="312"/>
      <c r="M3080" s="312"/>
    </row>
    <row r="3081" spans="6:13" x14ac:dyDescent="0.2">
      <c r="F3081" s="312"/>
      <c r="M3081" s="312"/>
    </row>
    <row r="3082" spans="6:13" x14ac:dyDescent="0.2">
      <c r="F3082" s="312"/>
      <c r="M3082" s="312"/>
    </row>
    <row r="3083" spans="6:13" x14ac:dyDescent="0.2">
      <c r="F3083" s="312"/>
      <c r="M3083" s="312"/>
    </row>
    <row r="3084" spans="6:13" x14ac:dyDescent="0.2">
      <c r="F3084" s="312"/>
      <c r="M3084" s="312"/>
    </row>
    <row r="3085" spans="6:13" x14ac:dyDescent="0.2">
      <c r="F3085" s="312"/>
    </row>
    <row r="3086" spans="6:13" x14ac:dyDescent="0.2">
      <c r="F3086" s="312"/>
    </row>
    <row r="3087" spans="6:13" x14ac:dyDescent="0.2">
      <c r="F3087" s="312"/>
    </row>
    <row r="3088" spans="6:13" x14ac:dyDescent="0.2">
      <c r="F3088" s="312"/>
      <c r="M3088" s="312"/>
    </row>
    <row r="3089" spans="6:13" x14ac:dyDescent="0.2">
      <c r="F3089" s="312"/>
      <c r="M3089" s="312"/>
    </row>
    <row r="3090" spans="6:13" x14ac:dyDescent="0.2">
      <c r="F3090" s="312"/>
      <c r="M3090" s="312"/>
    </row>
    <row r="3091" spans="6:13" x14ac:dyDescent="0.2">
      <c r="F3091" s="312"/>
      <c r="M3091" s="312"/>
    </row>
    <row r="3092" spans="6:13" x14ac:dyDescent="0.2">
      <c r="F3092" s="312"/>
      <c r="M3092" s="312"/>
    </row>
    <row r="3093" spans="6:13" x14ac:dyDescent="0.2">
      <c r="F3093" s="312"/>
      <c r="M3093" s="312"/>
    </row>
    <row r="3094" spans="6:13" x14ac:dyDescent="0.2">
      <c r="F3094" s="312"/>
      <c r="M3094" s="312"/>
    </row>
    <row r="3095" spans="6:13" x14ac:dyDescent="0.2">
      <c r="F3095" s="312"/>
      <c r="M3095" s="312"/>
    </row>
    <row r="3096" spans="6:13" x14ac:dyDescent="0.2">
      <c r="F3096" s="312"/>
      <c r="M3096" s="312"/>
    </row>
    <row r="3097" spans="6:13" x14ac:dyDescent="0.2">
      <c r="F3097" s="312"/>
      <c r="M3097" s="312"/>
    </row>
    <row r="3098" spans="6:13" x14ac:dyDescent="0.2">
      <c r="F3098" s="312"/>
      <c r="M3098" s="312"/>
    </row>
    <row r="3099" spans="6:13" x14ac:dyDescent="0.2">
      <c r="F3099" s="312"/>
      <c r="M3099" s="312"/>
    </row>
    <row r="3100" spans="6:13" x14ac:dyDescent="0.2">
      <c r="F3100" s="312"/>
      <c r="M3100" s="312"/>
    </row>
    <row r="3101" spans="6:13" x14ac:dyDescent="0.2">
      <c r="F3101" s="312"/>
      <c r="M3101" s="312"/>
    </row>
    <row r="3102" spans="6:13" x14ac:dyDescent="0.2">
      <c r="F3102" s="312"/>
      <c r="M3102" s="312"/>
    </row>
    <row r="3105" spans="6:13" x14ac:dyDescent="0.2">
      <c r="F3105" s="312"/>
      <c r="M3105" s="312"/>
    </row>
    <row r="3106" spans="6:13" x14ac:dyDescent="0.2">
      <c r="F3106" s="312"/>
      <c r="M3106" s="312"/>
    </row>
    <row r="3107" spans="6:13" x14ac:dyDescent="0.2">
      <c r="F3107" s="312"/>
      <c r="M3107" s="312"/>
    </row>
    <row r="3108" spans="6:13" x14ac:dyDescent="0.2">
      <c r="F3108" s="312"/>
      <c r="M3108" s="312"/>
    </row>
    <row r="3109" spans="6:13" x14ac:dyDescent="0.2">
      <c r="F3109" s="312"/>
      <c r="M3109" s="312"/>
    </row>
    <row r="3110" spans="6:13" x14ac:dyDescent="0.2">
      <c r="F3110" s="312"/>
    </row>
    <row r="3111" spans="6:13" x14ac:dyDescent="0.2">
      <c r="F3111" s="312"/>
    </row>
    <row r="3112" spans="6:13" x14ac:dyDescent="0.2">
      <c r="F3112" s="312"/>
    </row>
    <row r="3113" spans="6:13" x14ac:dyDescent="0.2">
      <c r="F3113" s="312"/>
      <c r="M3113" s="312"/>
    </row>
    <row r="3114" spans="6:13" x14ac:dyDescent="0.2">
      <c r="F3114" s="312"/>
      <c r="M3114" s="312"/>
    </row>
    <row r="3115" spans="6:13" x14ac:dyDescent="0.2">
      <c r="F3115" s="312"/>
      <c r="M3115" s="312"/>
    </row>
    <row r="3116" spans="6:13" x14ac:dyDescent="0.2">
      <c r="F3116" s="312"/>
      <c r="M3116" s="312"/>
    </row>
    <row r="3117" spans="6:13" x14ac:dyDescent="0.2">
      <c r="F3117" s="312"/>
      <c r="M3117" s="312"/>
    </row>
    <row r="3118" spans="6:13" x14ac:dyDescent="0.2">
      <c r="F3118" s="312"/>
      <c r="M3118" s="312"/>
    </row>
    <row r="3119" spans="6:13" x14ac:dyDescent="0.2">
      <c r="F3119" s="312"/>
      <c r="M3119" s="312"/>
    </row>
    <row r="3120" spans="6:13" x14ac:dyDescent="0.2">
      <c r="F3120" s="312"/>
      <c r="M3120" s="312"/>
    </row>
    <row r="3121" spans="6:13" x14ac:dyDescent="0.2">
      <c r="F3121" s="312"/>
      <c r="M3121" s="312"/>
    </row>
    <row r="3122" spans="6:13" x14ac:dyDescent="0.2">
      <c r="F3122" s="312"/>
      <c r="M3122" s="312"/>
    </row>
    <row r="3123" spans="6:13" x14ac:dyDescent="0.2">
      <c r="F3123" s="312"/>
      <c r="M3123" s="312"/>
    </row>
    <row r="3124" spans="6:13" x14ac:dyDescent="0.2">
      <c r="F3124" s="312"/>
      <c r="M3124" s="312"/>
    </row>
    <row r="3125" spans="6:13" x14ac:dyDescent="0.2">
      <c r="F3125" s="312"/>
      <c r="M3125" s="312"/>
    </row>
    <row r="3126" spans="6:13" x14ac:dyDescent="0.2">
      <c r="F3126" s="312"/>
      <c r="M3126" s="312"/>
    </row>
    <row r="3127" spans="6:13" x14ac:dyDescent="0.2">
      <c r="F3127" s="312"/>
      <c r="M3127" s="312"/>
    </row>
    <row r="3128" spans="6:13" x14ac:dyDescent="0.2">
      <c r="F3128" s="312"/>
    </row>
    <row r="3129" spans="6:13" x14ac:dyDescent="0.2">
      <c r="F3129" s="312"/>
    </row>
    <row r="3130" spans="6:13" x14ac:dyDescent="0.2">
      <c r="F3130" s="312"/>
    </row>
    <row r="3134" spans="6:13" x14ac:dyDescent="0.2">
      <c r="F3134" s="312"/>
      <c r="M3134" s="312"/>
    </row>
    <row r="3135" spans="6:13" x14ac:dyDescent="0.2">
      <c r="F3135" s="312"/>
      <c r="M3135" s="312"/>
    </row>
    <row r="3136" spans="6:13" x14ac:dyDescent="0.2">
      <c r="F3136" s="312"/>
      <c r="M3136" s="312"/>
    </row>
    <row r="3137" spans="6:13" x14ac:dyDescent="0.2">
      <c r="F3137" s="312"/>
      <c r="M3137" s="312"/>
    </row>
    <row r="3138" spans="6:13" x14ac:dyDescent="0.2">
      <c r="F3138" s="312"/>
      <c r="M3138" s="312"/>
    </row>
    <row r="3139" spans="6:13" x14ac:dyDescent="0.2">
      <c r="F3139" s="312"/>
      <c r="M3139" s="312"/>
    </row>
    <row r="3140" spans="6:13" x14ac:dyDescent="0.2">
      <c r="F3140" s="312"/>
      <c r="M3140" s="312"/>
    </row>
    <row r="3141" spans="6:13" x14ac:dyDescent="0.2">
      <c r="F3141" s="312"/>
      <c r="M3141" s="312"/>
    </row>
    <row r="3142" spans="6:13" x14ac:dyDescent="0.2">
      <c r="F3142" s="312"/>
      <c r="M3142" s="312"/>
    </row>
    <row r="3143" spans="6:13" x14ac:dyDescent="0.2">
      <c r="F3143" s="312"/>
      <c r="M3143" s="312"/>
    </row>
    <row r="3144" spans="6:13" x14ac:dyDescent="0.2">
      <c r="F3144" s="312"/>
      <c r="M3144" s="312"/>
    </row>
    <row r="3145" spans="6:13" x14ac:dyDescent="0.2">
      <c r="F3145" s="312"/>
      <c r="M3145" s="312"/>
    </row>
    <row r="3146" spans="6:13" x14ac:dyDescent="0.2">
      <c r="F3146" s="312"/>
      <c r="M3146" s="312"/>
    </row>
    <row r="3147" spans="6:13" x14ac:dyDescent="0.2">
      <c r="F3147" s="312"/>
      <c r="M3147" s="312"/>
    </row>
    <row r="3148" spans="6:13" x14ac:dyDescent="0.2">
      <c r="F3148" s="312"/>
      <c r="M3148" s="312"/>
    </row>
    <row r="3149" spans="6:13" x14ac:dyDescent="0.2">
      <c r="F3149" s="312"/>
      <c r="M3149" s="312"/>
    </row>
    <row r="3150" spans="6:13" x14ac:dyDescent="0.2">
      <c r="F3150" s="312"/>
      <c r="M3150" s="312"/>
    </row>
    <row r="3151" spans="6:13" x14ac:dyDescent="0.2">
      <c r="F3151" s="312"/>
      <c r="M3151" s="312"/>
    </row>
    <row r="3152" spans="6:13" x14ac:dyDescent="0.2">
      <c r="F3152" s="312"/>
    </row>
    <row r="3153" spans="6:13" x14ac:dyDescent="0.2">
      <c r="F3153" s="312"/>
    </row>
    <row r="3154" spans="6:13" x14ac:dyDescent="0.2">
      <c r="F3154" s="312"/>
    </row>
    <row r="3155" spans="6:13" x14ac:dyDescent="0.2">
      <c r="F3155" s="312"/>
    </row>
    <row r="3161" spans="6:13" x14ac:dyDescent="0.2">
      <c r="F3161" s="312"/>
      <c r="M3161" s="312"/>
    </row>
    <row r="3162" spans="6:13" x14ac:dyDescent="0.2">
      <c r="F3162" s="312"/>
      <c r="M3162" s="312"/>
    </row>
    <row r="3163" spans="6:13" x14ac:dyDescent="0.2">
      <c r="F3163" s="312"/>
      <c r="M3163" s="312"/>
    </row>
    <row r="3164" spans="6:13" x14ac:dyDescent="0.2">
      <c r="F3164" s="312"/>
      <c r="M3164" s="312"/>
    </row>
    <row r="3165" spans="6:13" x14ac:dyDescent="0.2">
      <c r="F3165" s="312"/>
      <c r="M3165" s="312"/>
    </row>
    <row r="3166" spans="6:13" x14ac:dyDescent="0.2">
      <c r="F3166" s="312"/>
      <c r="M3166" s="312"/>
    </row>
    <row r="3167" spans="6:13" x14ac:dyDescent="0.2">
      <c r="F3167" s="312"/>
      <c r="M3167" s="312"/>
    </row>
    <row r="3168" spans="6:13" x14ac:dyDescent="0.2">
      <c r="F3168" s="312"/>
      <c r="M3168" s="312"/>
    </row>
    <row r="3169" spans="6:13" x14ac:dyDescent="0.2">
      <c r="F3169" s="312"/>
      <c r="M3169" s="312"/>
    </row>
    <row r="3392" spans="6:13" x14ac:dyDescent="0.2">
      <c r="F3392" s="312"/>
      <c r="M3392" s="312"/>
    </row>
    <row r="3393" spans="6:13" x14ac:dyDescent="0.2">
      <c r="F3393" s="312"/>
      <c r="M3393" s="312"/>
    </row>
    <row r="3394" spans="6:13" x14ac:dyDescent="0.2">
      <c r="F3394" s="312"/>
      <c r="M3394" s="312"/>
    </row>
    <row r="3395" spans="6:13" x14ac:dyDescent="0.2">
      <c r="F3395" s="312"/>
      <c r="M3395" s="312"/>
    </row>
    <row r="3396" spans="6:13" x14ac:dyDescent="0.2">
      <c r="F3396" s="312"/>
      <c r="M3396" s="312"/>
    </row>
    <row r="3397" spans="6:13" x14ac:dyDescent="0.2">
      <c r="F3397" s="312"/>
      <c r="M3397" s="312"/>
    </row>
    <row r="3398" spans="6:13" x14ac:dyDescent="0.2">
      <c r="F3398" s="312"/>
      <c r="M3398" s="312"/>
    </row>
    <row r="3399" spans="6:13" x14ac:dyDescent="0.2">
      <c r="F3399" s="312"/>
      <c r="M3399" s="312"/>
    </row>
    <row r="3400" spans="6:13" x14ac:dyDescent="0.2">
      <c r="F3400" s="312"/>
      <c r="M3400" s="312"/>
    </row>
    <row r="3401" spans="6:13" x14ac:dyDescent="0.2">
      <c r="F3401" s="312"/>
      <c r="M3401" s="312"/>
    </row>
    <row r="3402" spans="6:13" x14ac:dyDescent="0.2">
      <c r="F3402" s="312"/>
      <c r="M3402" s="312"/>
    </row>
    <row r="3403" spans="6:13" x14ac:dyDescent="0.2">
      <c r="F3403" s="312"/>
      <c r="M3403" s="312"/>
    </row>
    <row r="3404" spans="6:13" x14ac:dyDescent="0.2">
      <c r="F3404" s="312"/>
      <c r="M3404" s="312"/>
    </row>
    <row r="3405" spans="6:13" x14ac:dyDescent="0.2">
      <c r="F3405" s="312"/>
      <c r="M3405" s="312"/>
    </row>
    <row r="3406" spans="6:13" x14ac:dyDescent="0.2">
      <c r="F3406" s="312"/>
      <c r="M3406" s="312"/>
    </row>
    <row r="3407" spans="6:13" x14ac:dyDescent="0.2">
      <c r="F3407" s="312"/>
      <c r="M3407" s="312"/>
    </row>
    <row r="3408" spans="6:13" x14ac:dyDescent="0.2">
      <c r="F3408" s="312"/>
      <c r="M3408" s="312"/>
    </row>
    <row r="3409" spans="6:13" x14ac:dyDescent="0.2">
      <c r="F3409" s="312"/>
      <c r="M3409" s="312"/>
    </row>
    <row r="3410" spans="6:13" x14ac:dyDescent="0.2">
      <c r="F3410" s="312"/>
      <c r="M3410" s="312"/>
    </row>
    <row r="3411" spans="6:13" x14ac:dyDescent="0.2">
      <c r="F3411" s="312"/>
      <c r="M3411" s="312"/>
    </row>
    <row r="3412" spans="6:13" x14ac:dyDescent="0.2">
      <c r="F3412" s="312"/>
      <c r="M3412" s="312"/>
    </row>
    <row r="3413" spans="6:13" x14ac:dyDescent="0.2">
      <c r="F3413" s="312"/>
      <c r="M3413" s="312"/>
    </row>
    <row r="3414" spans="6:13" x14ac:dyDescent="0.2">
      <c r="F3414" s="312"/>
      <c r="M3414" s="312"/>
    </row>
    <row r="3415" spans="6:13" x14ac:dyDescent="0.2">
      <c r="F3415" s="312"/>
      <c r="M3415" s="312"/>
    </row>
    <row r="3416" spans="6:13" x14ac:dyDescent="0.2">
      <c r="F3416" s="312"/>
      <c r="M3416" s="312"/>
    </row>
    <row r="3417" spans="6:13" x14ac:dyDescent="0.2">
      <c r="F3417" s="312"/>
      <c r="M3417" s="312"/>
    </row>
    <row r="3418" spans="6:13" x14ac:dyDescent="0.2">
      <c r="F3418" s="312"/>
      <c r="M3418" s="312"/>
    </row>
    <row r="3419" spans="6:13" x14ac:dyDescent="0.2">
      <c r="F3419" s="312"/>
      <c r="M3419" s="312"/>
    </row>
    <row r="3420" spans="6:13" x14ac:dyDescent="0.2">
      <c r="F3420" s="312"/>
      <c r="M3420" s="312"/>
    </row>
    <row r="3421" spans="6:13" x14ac:dyDescent="0.2">
      <c r="F3421" s="312"/>
      <c r="M3421" s="312"/>
    </row>
    <row r="3422" spans="6:13" x14ac:dyDescent="0.2">
      <c r="F3422" s="312"/>
      <c r="M3422" s="312"/>
    </row>
    <row r="3423" spans="6:13" x14ac:dyDescent="0.2">
      <c r="F3423" s="312"/>
      <c r="M3423" s="312"/>
    </row>
    <row r="3424" spans="6:13" x14ac:dyDescent="0.2">
      <c r="F3424" s="312"/>
      <c r="M3424" s="312"/>
    </row>
    <row r="3425" spans="6:13" x14ac:dyDescent="0.2">
      <c r="F3425" s="312"/>
      <c r="M3425" s="312"/>
    </row>
    <row r="3426" spans="6:13" x14ac:dyDescent="0.2">
      <c r="F3426" s="312"/>
      <c r="M3426" s="312"/>
    </row>
    <row r="3427" spans="6:13" x14ac:dyDescent="0.2">
      <c r="F3427" s="312"/>
      <c r="M3427" s="312"/>
    </row>
    <row r="3428" spans="6:13" x14ac:dyDescent="0.2">
      <c r="F3428" s="312"/>
      <c r="M3428" s="312"/>
    </row>
    <row r="3429" spans="6:13" x14ac:dyDescent="0.2">
      <c r="F3429" s="312"/>
      <c r="M3429" s="312"/>
    </row>
    <row r="3430" spans="6:13" x14ac:dyDescent="0.2">
      <c r="F3430" s="312"/>
      <c r="M3430" s="312"/>
    </row>
    <row r="3431" spans="6:13" x14ac:dyDescent="0.2">
      <c r="F3431" s="312"/>
      <c r="M3431" s="312"/>
    </row>
    <row r="3432" spans="6:13" x14ac:dyDescent="0.2">
      <c r="F3432" s="312"/>
      <c r="M3432" s="312"/>
    </row>
    <row r="3433" spans="6:13" x14ac:dyDescent="0.2">
      <c r="F3433" s="312"/>
      <c r="M3433" s="312"/>
    </row>
    <row r="3434" spans="6:13" x14ac:dyDescent="0.2">
      <c r="F3434" s="312"/>
      <c r="M3434" s="312"/>
    </row>
    <row r="3435" spans="6:13" x14ac:dyDescent="0.2">
      <c r="F3435" s="312"/>
      <c r="M3435" s="312"/>
    </row>
    <row r="3436" spans="6:13" x14ac:dyDescent="0.2">
      <c r="F3436" s="312"/>
      <c r="M3436" s="312"/>
    </row>
    <row r="3437" spans="6:13" x14ac:dyDescent="0.2">
      <c r="F3437" s="312"/>
      <c r="M3437" s="312"/>
    </row>
    <row r="3438" spans="6:13" x14ac:dyDescent="0.2">
      <c r="F3438" s="312"/>
      <c r="M3438" s="312"/>
    </row>
    <row r="3439" spans="6:13" x14ac:dyDescent="0.2">
      <c r="F3439" s="312"/>
      <c r="M3439" s="312"/>
    </row>
    <row r="3440" spans="6:13" x14ac:dyDescent="0.2">
      <c r="F3440" s="312"/>
      <c r="M3440" s="312"/>
    </row>
    <row r="3441" spans="6:13" x14ac:dyDescent="0.2">
      <c r="F3441" s="312"/>
      <c r="M3441" s="312"/>
    </row>
    <row r="3442" spans="6:13" x14ac:dyDescent="0.2">
      <c r="F3442" s="312"/>
      <c r="M3442" s="312"/>
    </row>
    <row r="3443" spans="6:13" x14ac:dyDescent="0.2">
      <c r="F3443" s="312"/>
      <c r="M3443" s="312"/>
    </row>
    <row r="3444" spans="6:13" x14ac:dyDescent="0.2">
      <c r="F3444" s="312"/>
      <c r="M3444" s="312"/>
    </row>
    <row r="3445" spans="6:13" x14ac:dyDescent="0.2">
      <c r="F3445" s="312"/>
      <c r="M3445" s="312"/>
    </row>
    <row r="3446" spans="6:13" x14ac:dyDescent="0.2">
      <c r="F3446" s="312"/>
      <c r="M3446" s="312"/>
    </row>
    <row r="3447" spans="6:13" x14ac:dyDescent="0.2">
      <c r="F3447" s="312"/>
      <c r="M3447" s="312"/>
    </row>
    <row r="3448" spans="6:13" x14ac:dyDescent="0.2">
      <c r="F3448" s="312"/>
      <c r="M3448" s="312"/>
    </row>
    <row r="3449" spans="6:13" x14ac:dyDescent="0.2">
      <c r="F3449" s="312"/>
      <c r="M3449" s="312"/>
    </row>
    <row r="3450" spans="6:13" x14ac:dyDescent="0.2">
      <c r="F3450" s="312"/>
      <c r="M3450" s="312"/>
    </row>
    <row r="3451" spans="6:13" x14ac:dyDescent="0.2">
      <c r="F3451" s="312"/>
      <c r="M3451" s="312"/>
    </row>
    <row r="3452" spans="6:13" x14ac:dyDescent="0.2">
      <c r="F3452" s="312"/>
      <c r="M3452" s="312"/>
    </row>
    <row r="3453" spans="6:13" x14ac:dyDescent="0.2">
      <c r="F3453" s="312"/>
      <c r="M3453" s="312"/>
    </row>
    <row r="3454" spans="6:13" x14ac:dyDescent="0.2">
      <c r="F3454" s="312"/>
      <c r="M3454" s="312"/>
    </row>
    <row r="3455" spans="6:13" x14ac:dyDescent="0.2">
      <c r="F3455" s="312"/>
      <c r="M3455" s="312"/>
    </row>
    <row r="3456" spans="6:13" x14ac:dyDescent="0.2">
      <c r="F3456" s="312"/>
      <c r="M3456" s="312"/>
    </row>
    <row r="3457" spans="6:13" x14ac:dyDescent="0.2">
      <c r="F3457" s="312"/>
      <c r="M3457" s="312"/>
    </row>
    <row r="3458" spans="6:13" x14ac:dyDescent="0.2">
      <c r="F3458" s="312"/>
      <c r="M3458" s="312"/>
    </row>
    <row r="3459" spans="6:13" x14ac:dyDescent="0.2">
      <c r="F3459" s="312"/>
      <c r="M3459" s="312"/>
    </row>
    <row r="3460" spans="6:13" x14ac:dyDescent="0.2">
      <c r="F3460" s="312"/>
      <c r="M3460" s="312"/>
    </row>
    <row r="3461" spans="6:13" x14ac:dyDescent="0.2">
      <c r="F3461" s="312"/>
      <c r="M3461" s="312"/>
    </row>
    <row r="3462" spans="6:13" x14ac:dyDescent="0.2">
      <c r="F3462" s="312"/>
      <c r="M3462" s="312"/>
    </row>
    <row r="3463" spans="6:13" x14ac:dyDescent="0.2">
      <c r="F3463" s="312"/>
      <c r="M3463" s="312"/>
    </row>
    <row r="3464" spans="6:13" x14ac:dyDescent="0.2">
      <c r="F3464" s="312"/>
      <c r="M3464" s="312"/>
    </row>
    <row r="3465" spans="6:13" x14ac:dyDescent="0.2">
      <c r="F3465" s="312"/>
      <c r="M3465" s="312"/>
    </row>
    <row r="3466" spans="6:13" x14ac:dyDescent="0.2">
      <c r="F3466" s="312"/>
      <c r="M3466" s="312"/>
    </row>
    <row r="3467" spans="6:13" x14ac:dyDescent="0.2">
      <c r="F3467" s="312"/>
      <c r="M3467" s="312"/>
    </row>
    <row r="3468" spans="6:13" x14ac:dyDescent="0.2">
      <c r="F3468" s="312"/>
      <c r="M3468" s="312"/>
    </row>
    <row r="3469" spans="6:13" x14ac:dyDescent="0.2">
      <c r="F3469" s="312"/>
      <c r="M3469" s="312"/>
    </row>
    <row r="3470" spans="6:13" x14ac:dyDescent="0.2">
      <c r="F3470" s="312"/>
      <c r="M3470" s="312"/>
    </row>
    <row r="3471" spans="6:13" x14ac:dyDescent="0.2">
      <c r="F3471" s="312"/>
      <c r="M3471" s="312"/>
    </row>
    <row r="3472" spans="6:13" x14ac:dyDescent="0.2">
      <c r="F3472" s="312"/>
      <c r="M3472" s="312"/>
    </row>
    <row r="3473" spans="6:13" x14ac:dyDescent="0.2">
      <c r="F3473" s="312"/>
      <c r="M3473" s="312"/>
    </row>
    <row r="3474" spans="6:13" x14ac:dyDescent="0.2">
      <c r="F3474" s="312"/>
      <c r="M3474" s="312"/>
    </row>
    <row r="3475" spans="6:13" x14ac:dyDescent="0.2">
      <c r="F3475" s="312"/>
      <c r="M3475" s="312"/>
    </row>
    <row r="3476" spans="6:13" x14ac:dyDescent="0.2">
      <c r="F3476" s="312"/>
      <c r="M3476" s="312"/>
    </row>
    <row r="3477" spans="6:13" x14ac:dyDescent="0.2">
      <c r="F3477" s="312"/>
      <c r="M3477" s="312"/>
    </row>
    <row r="3478" spans="6:13" x14ac:dyDescent="0.2">
      <c r="F3478" s="312"/>
      <c r="M3478" s="312"/>
    </row>
    <row r="3479" spans="6:13" x14ac:dyDescent="0.2">
      <c r="F3479" s="312"/>
      <c r="M3479" s="312"/>
    </row>
    <row r="3480" spans="6:13" x14ac:dyDescent="0.2">
      <c r="F3480" s="312"/>
      <c r="M3480" s="312"/>
    </row>
    <row r="3481" spans="6:13" x14ac:dyDescent="0.2">
      <c r="F3481" s="312"/>
      <c r="M3481" s="312"/>
    </row>
    <row r="3482" spans="6:13" x14ac:dyDescent="0.2">
      <c r="F3482" s="312"/>
      <c r="M3482" s="312"/>
    </row>
    <row r="3483" spans="6:13" x14ac:dyDescent="0.2">
      <c r="F3483" s="312"/>
      <c r="M3483" s="312"/>
    </row>
    <row r="3484" spans="6:13" x14ac:dyDescent="0.2">
      <c r="F3484" s="312"/>
      <c r="M3484" s="312"/>
    </row>
    <row r="3485" spans="6:13" x14ac:dyDescent="0.2">
      <c r="F3485" s="312"/>
      <c r="M3485" s="312"/>
    </row>
    <row r="3486" spans="6:13" x14ac:dyDescent="0.2">
      <c r="F3486" s="312"/>
      <c r="M3486" s="312"/>
    </row>
    <row r="3487" spans="6:13" x14ac:dyDescent="0.2">
      <c r="F3487" s="312"/>
      <c r="M3487" s="312"/>
    </row>
    <row r="3488" spans="6:13" x14ac:dyDescent="0.2">
      <c r="F3488" s="312"/>
      <c r="M3488" s="312"/>
    </row>
    <row r="3489" spans="6:13" x14ac:dyDescent="0.2">
      <c r="F3489" s="312"/>
      <c r="M3489" s="312"/>
    </row>
    <row r="3490" spans="6:13" x14ac:dyDescent="0.2">
      <c r="F3490" s="312"/>
      <c r="M3490" s="312"/>
    </row>
    <row r="3491" spans="6:13" x14ac:dyDescent="0.2">
      <c r="F3491" s="312"/>
      <c r="M3491" s="312"/>
    </row>
    <row r="3492" spans="6:13" x14ac:dyDescent="0.2">
      <c r="F3492" s="312"/>
      <c r="M3492" s="312"/>
    </row>
    <row r="3493" spans="6:13" x14ac:dyDescent="0.2">
      <c r="F3493" s="312"/>
      <c r="M3493" s="312"/>
    </row>
    <row r="3494" spans="6:13" x14ac:dyDescent="0.2">
      <c r="F3494" s="312"/>
      <c r="M3494" s="312"/>
    </row>
    <row r="3495" spans="6:13" x14ac:dyDescent="0.2">
      <c r="F3495" s="312"/>
      <c r="M3495" s="312"/>
    </row>
    <row r="3496" spans="6:13" x14ac:dyDescent="0.2">
      <c r="F3496" s="312"/>
      <c r="M3496" s="312"/>
    </row>
    <row r="3497" spans="6:13" x14ac:dyDescent="0.2">
      <c r="F3497" s="312"/>
      <c r="M3497" s="312"/>
    </row>
    <row r="3498" spans="6:13" x14ac:dyDescent="0.2">
      <c r="F3498" s="312"/>
      <c r="M3498" s="312"/>
    </row>
    <row r="3499" spans="6:13" x14ac:dyDescent="0.2">
      <c r="F3499" s="312"/>
      <c r="M3499" s="312"/>
    </row>
    <row r="3500" spans="6:13" x14ac:dyDescent="0.2">
      <c r="F3500" s="312"/>
      <c r="M3500" s="312"/>
    </row>
    <row r="3501" spans="6:13" x14ac:dyDescent="0.2">
      <c r="F3501" s="312"/>
      <c r="M3501" s="312"/>
    </row>
    <row r="3502" spans="6:13" x14ac:dyDescent="0.2">
      <c r="F3502" s="312"/>
      <c r="M3502" s="312"/>
    </row>
    <row r="3503" spans="6:13" x14ac:dyDescent="0.2">
      <c r="F3503" s="312"/>
      <c r="M3503" s="312"/>
    </row>
    <row r="3504" spans="6:13" x14ac:dyDescent="0.2">
      <c r="F3504" s="312"/>
      <c r="M3504" s="312"/>
    </row>
    <row r="3505" spans="6:13" x14ac:dyDescent="0.2">
      <c r="F3505" s="312"/>
      <c r="M3505" s="312"/>
    </row>
    <row r="3506" spans="6:13" x14ac:dyDescent="0.2">
      <c r="F3506" s="312"/>
      <c r="M3506" s="312"/>
    </row>
    <row r="3507" spans="6:13" x14ac:dyDescent="0.2">
      <c r="F3507" s="312"/>
      <c r="M3507" s="312"/>
    </row>
    <row r="3508" spans="6:13" x14ac:dyDescent="0.2">
      <c r="F3508" s="312"/>
      <c r="M3508" s="312"/>
    </row>
    <row r="3509" spans="6:13" x14ac:dyDescent="0.2">
      <c r="F3509" s="312"/>
      <c r="M3509" s="312"/>
    </row>
    <row r="3510" spans="6:13" x14ac:dyDescent="0.2">
      <c r="F3510" s="312"/>
      <c r="M3510" s="312"/>
    </row>
    <row r="3511" spans="6:13" x14ac:dyDescent="0.2">
      <c r="F3511" s="312"/>
      <c r="M3511" s="312"/>
    </row>
    <row r="3512" spans="6:13" x14ac:dyDescent="0.2">
      <c r="F3512" s="312"/>
      <c r="M3512" s="312"/>
    </row>
    <row r="3513" spans="6:13" x14ac:dyDescent="0.2">
      <c r="F3513" s="312"/>
      <c r="M3513" s="312"/>
    </row>
    <row r="3514" spans="6:13" x14ac:dyDescent="0.2">
      <c r="F3514" s="312"/>
      <c r="M3514" s="312"/>
    </row>
    <row r="3515" spans="6:13" x14ac:dyDescent="0.2">
      <c r="F3515" s="312"/>
      <c r="M3515" s="312"/>
    </row>
    <row r="3516" spans="6:13" x14ac:dyDescent="0.2">
      <c r="F3516" s="312"/>
      <c r="M3516" s="312"/>
    </row>
    <row r="3517" spans="6:13" x14ac:dyDescent="0.2">
      <c r="F3517" s="312"/>
      <c r="M3517" s="312"/>
    </row>
    <row r="3518" spans="6:13" x14ac:dyDescent="0.2">
      <c r="F3518" s="312"/>
      <c r="M3518" s="312"/>
    </row>
    <row r="3519" spans="6:13" x14ac:dyDescent="0.2">
      <c r="F3519" s="312"/>
      <c r="M3519" s="312"/>
    </row>
    <row r="3520" spans="6:13" x14ac:dyDescent="0.2">
      <c r="F3520" s="312"/>
      <c r="M3520" s="312"/>
    </row>
    <row r="3521" spans="6:13" x14ac:dyDescent="0.2">
      <c r="F3521" s="312"/>
      <c r="M3521" s="312"/>
    </row>
    <row r="3522" spans="6:13" x14ac:dyDescent="0.2">
      <c r="F3522" s="312"/>
      <c r="M3522" s="312"/>
    </row>
    <row r="3523" spans="6:13" x14ac:dyDescent="0.2">
      <c r="F3523" s="312"/>
      <c r="M3523" s="312"/>
    </row>
    <row r="3524" spans="6:13" x14ac:dyDescent="0.2">
      <c r="F3524" s="312"/>
      <c r="M3524" s="312"/>
    </row>
    <row r="3525" spans="6:13" x14ac:dyDescent="0.2">
      <c r="F3525" s="312"/>
      <c r="M3525" s="312"/>
    </row>
    <row r="3526" spans="6:13" x14ac:dyDescent="0.2">
      <c r="F3526" s="312"/>
      <c r="M3526" s="312"/>
    </row>
    <row r="3527" spans="6:13" x14ac:dyDescent="0.2">
      <c r="F3527" s="312"/>
      <c r="M3527" s="312"/>
    </row>
    <row r="3528" spans="6:13" x14ac:dyDescent="0.2">
      <c r="F3528" s="312"/>
      <c r="M3528" s="312"/>
    </row>
    <row r="3529" spans="6:13" x14ac:dyDescent="0.2">
      <c r="F3529" s="312"/>
      <c r="M3529" s="312"/>
    </row>
    <row r="3530" spans="6:13" x14ac:dyDescent="0.2">
      <c r="F3530" s="312"/>
      <c r="M3530" s="312"/>
    </row>
    <row r="3531" spans="6:13" x14ac:dyDescent="0.2">
      <c r="F3531" s="312"/>
      <c r="M3531" s="312"/>
    </row>
    <row r="3532" spans="6:13" x14ac:dyDescent="0.2">
      <c r="F3532" s="312"/>
      <c r="M3532" s="312"/>
    </row>
    <row r="3533" spans="6:13" x14ac:dyDescent="0.2">
      <c r="F3533" s="312"/>
      <c r="M3533" s="312"/>
    </row>
    <row r="3534" spans="6:13" x14ac:dyDescent="0.2">
      <c r="F3534" s="312"/>
      <c r="M3534" s="312"/>
    </row>
    <row r="3535" spans="6:13" x14ac:dyDescent="0.2">
      <c r="F3535" s="312"/>
      <c r="M3535" s="312"/>
    </row>
    <row r="3536" spans="6:13" x14ac:dyDescent="0.2">
      <c r="F3536" s="312"/>
      <c r="M3536" s="312"/>
    </row>
    <row r="3537" spans="6:13" x14ac:dyDescent="0.2">
      <c r="F3537" s="312"/>
      <c r="M3537" s="312"/>
    </row>
    <row r="3538" spans="6:13" x14ac:dyDescent="0.2">
      <c r="F3538" s="312"/>
      <c r="M3538" s="312"/>
    </row>
    <row r="3539" spans="6:13" x14ac:dyDescent="0.2">
      <c r="F3539" s="312"/>
      <c r="M3539" s="312"/>
    </row>
    <row r="3540" spans="6:13" x14ac:dyDescent="0.2">
      <c r="F3540" s="312"/>
      <c r="M3540" s="312"/>
    </row>
    <row r="3541" spans="6:13" x14ac:dyDescent="0.2">
      <c r="F3541" s="312"/>
      <c r="M3541" s="312"/>
    </row>
    <row r="3542" spans="6:13" x14ac:dyDescent="0.2">
      <c r="F3542" s="312"/>
      <c r="M3542" s="312"/>
    </row>
    <row r="3543" spans="6:13" x14ac:dyDescent="0.2">
      <c r="F3543" s="312"/>
      <c r="M3543" s="312"/>
    </row>
    <row r="3544" spans="6:13" x14ac:dyDescent="0.2">
      <c r="F3544" s="312"/>
      <c r="M3544" s="312"/>
    </row>
    <row r="3545" spans="6:13" x14ac:dyDescent="0.2">
      <c r="F3545" s="312"/>
      <c r="M3545" s="312"/>
    </row>
    <row r="3546" spans="6:13" x14ac:dyDescent="0.2">
      <c r="F3546" s="312"/>
      <c r="M3546" s="312"/>
    </row>
    <row r="3547" spans="6:13" x14ac:dyDescent="0.2">
      <c r="F3547" s="312"/>
      <c r="M3547" s="312"/>
    </row>
    <row r="3548" spans="6:13" x14ac:dyDescent="0.2">
      <c r="F3548" s="312"/>
      <c r="M3548" s="312"/>
    </row>
    <row r="3549" spans="6:13" x14ac:dyDescent="0.2">
      <c r="F3549" s="312"/>
      <c r="M3549" s="312"/>
    </row>
    <row r="3550" spans="6:13" x14ac:dyDescent="0.2">
      <c r="F3550" s="312"/>
      <c r="M3550" s="312"/>
    </row>
    <row r="3551" spans="6:13" x14ac:dyDescent="0.2">
      <c r="F3551" s="312"/>
      <c r="M3551" s="312"/>
    </row>
    <row r="3552" spans="6:13" x14ac:dyDescent="0.2">
      <c r="F3552" s="312"/>
      <c r="M3552" s="312"/>
    </row>
    <row r="3553" spans="6:13" x14ac:dyDescent="0.2">
      <c r="F3553" s="312"/>
      <c r="M3553" s="312"/>
    </row>
    <row r="3554" spans="6:13" x14ac:dyDescent="0.2">
      <c r="F3554" s="312"/>
      <c r="M3554" s="312"/>
    </row>
    <row r="3555" spans="6:13" x14ac:dyDescent="0.2">
      <c r="F3555" s="312"/>
      <c r="M3555" s="312"/>
    </row>
    <row r="3556" spans="6:13" x14ac:dyDescent="0.2">
      <c r="F3556" s="312"/>
      <c r="M3556" s="312"/>
    </row>
    <row r="3557" spans="6:13" x14ac:dyDescent="0.2">
      <c r="F3557" s="312"/>
      <c r="M3557" s="312"/>
    </row>
    <row r="3558" spans="6:13" x14ac:dyDescent="0.2">
      <c r="F3558" s="312"/>
      <c r="M3558" s="312"/>
    </row>
    <row r="3559" spans="6:13" x14ac:dyDescent="0.2">
      <c r="F3559" s="312"/>
      <c r="M3559" s="312"/>
    </row>
    <row r="3560" spans="6:13" x14ac:dyDescent="0.2">
      <c r="F3560" s="312"/>
      <c r="M3560" s="312"/>
    </row>
    <row r="3561" spans="6:13" x14ac:dyDescent="0.2">
      <c r="F3561" s="312"/>
      <c r="M3561" s="312"/>
    </row>
    <row r="3562" spans="6:13" x14ac:dyDescent="0.2">
      <c r="F3562" s="312"/>
      <c r="M3562" s="312"/>
    </row>
    <row r="3563" spans="6:13" x14ac:dyDescent="0.2">
      <c r="F3563" s="312"/>
      <c r="M3563" s="312"/>
    </row>
    <row r="3564" spans="6:13" x14ac:dyDescent="0.2">
      <c r="F3564" s="312"/>
      <c r="M3564" s="312"/>
    </row>
    <row r="3565" spans="6:13" x14ac:dyDescent="0.2">
      <c r="F3565" s="312"/>
      <c r="M3565" s="312"/>
    </row>
    <row r="3566" spans="6:13" x14ac:dyDescent="0.2">
      <c r="F3566" s="312"/>
      <c r="M3566" s="312"/>
    </row>
    <row r="3567" spans="6:13" x14ac:dyDescent="0.2">
      <c r="F3567" s="312"/>
      <c r="M3567" s="312"/>
    </row>
    <row r="3568" spans="6:13" x14ac:dyDescent="0.2">
      <c r="F3568" s="312"/>
      <c r="M3568" s="312"/>
    </row>
    <row r="3569" spans="6:13" x14ac:dyDescent="0.2">
      <c r="F3569" s="312"/>
      <c r="M3569" s="312"/>
    </row>
    <row r="3570" spans="6:13" x14ac:dyDescent="0.2">
      <c r="F3570" s="312"/>
      <c r="M3570" s="312"/>
    </row>
    <row r="3571" spans="6:13" x14ac:dyDescent="0.2">
      <c r="F3571" s="312"/>
      <c r="M3571" s="312"/>
    </row>
    <row r="3572" spans="6:13" x14ac:dyDescent="0.2">
      <c r="F3572" s="312"/>
      <c r="M3572" s="312"/>
    </row>
    <row r="3573" spans="6:13" x14ac:dyDescent="0.2">
      <c r="F3573" s="312"/>
      <c r="M3573" s="312"/>
    </row>
    <row r="3574" spans="6:13" x14ac:dyDescent="0.2">
      <c r="F3574" s="312"/>
      <c r="M3574" s="312"/>
    </row>
    <row r="3575" spans="6:13" x14ac:dyDescent="0.2">
      <c r="F3575" s="312"/>
      <c r="M3575" s="312"/>
    </row>
    <row r="3576" spans="6:13" x14ac:dyDescent="0.2">
      <c r="F3576" s="312"/>
      <c r="M3576" s="312"/>
    </row>
    <row r="3577" spans="6:13" x14ac:dyDescent="0.2">
      <c r="F3577" s="312"/>
      <c r="M3577" s="312"/>
    </row>
    <row r="3578" spans="6:13" x14ac:dyDescent="0.2">
      <c r="F3578" s="312"/>
      <c r="M3578" s="312"/>
    </row>
    <row r="3579" spans="6:13" x14ac:dyDescent="0.2">
      <c r="F3579" s="312"/>
      <c r="M3579" s="312"/>
    </row>
    <row r="3580" spans="6:13" x14ac:dyDescent="0.2">
      <c r="F3580" s="312"/>
      <c r="M3580" s="312"/>
    </row>
    <row r="3581" spans="6:13" x14ac:dyDescent="0.2">
      <c r="F3581" s="312"/>
      <c r="M3581" s="312"/>
    </row>
    <row r="3582" spans="6:13" x14ac:dyDescent="0.2">
      <c r="F3582" s="312"/>
      <c r="M3582" s="312"/>
    </row>
    <row r="3583" spans="6:13" x14ac:dyDescent="0.2">
      <c r="F3583" s="312"/>
      <c r="M3583" s="312"/>
    </row>
    <row r="3584" spans="6:13" x14ac:dyDescent="0.2">
      <c r="F3584" s="312"/>
      <c r="M3584" s="312"/>
    </row>
    <row r="3585" spans="6:13" x14ac:dyDescent="0.2">
      <c r="F3585" s="312"/>
      <c r="M3585" s="312"/>
    </row>
    <row r="3586" spans="6:13" x14ac:dyDescent="0.2">
      <c r="F3586" s="312"/>
      <c r="M3586" s="312"/>
    </row>
    <row r="3587" spans="6:13" x14ac:dyDescent="0.2">
      <c r="F3587" s="312"/>
      <c r="M3587" s="312"/>
    </row>
    <row r="3588" spans="6:13" x14ac:dyDescent="0.2">
      <c r="F3588" s="312"/>
      <c r="M3588" s="312"/>
    </row>
    <row r="3589" spans="6:13" x14ac:dyDescent="0.2">
      <c r="F3589" s="312"/>
      <c r="M3589" s="312"/>
    </row>
    <row r="3590" spans="6:13" x14ac:dyDescent="0.2">
      <c r="F3590" s="312"/>
      <c r="M3590" s="312"/>
    </row>
    <row r="3591" spans="6:13" x14ac:dyDescent="0.2">
      <c r="F3591" s="312"/>
      <c r="M3591" s="312"/>
    </row>
    <row r="3592" spans="6:13" x14ac:dyDescent="0.2">
      <c r="F3592" s="312"/>
      <c r="M3592" s="312"/>
    </row>
    <row r="3593" spans="6:13" x14ac:dyDescent="0.2">
      <c r="F3593" s="312"/>
      <c r="M3593" s="312"/>
    </row>
    <row r="3594" spans="6:13" x14ac:dyDescent="0.2">
      <c r="F3594" s="312"/>
      <c r="M3594" s="312"/>
    </row>
    <row r="3595" spans="6:13" x14ac:dyDescent="0.2">
      <c r="F3595" s="312"/>
      <c r="M3595" s="312"/>
    </row>
    <row r="3596" spans="6:13" x14ac:dyDescent="0.2">
      <c r="F3596" s="312"/>
      <c r="M3596" s="312"/>
    </row>
    <row r="3597" spans="6:13" x14ac:dyDescent="0.2">
      <c r="F3597" s="312"/>
      <c r="M3597" s="312"/>
    </row>
    <row r="3598" spans="6:13" x14ac:dyDescent="0.2">
      <c r="F3598" s="312"/>
      <c r="M3598" s="312"/>
    </row>
    <row r="3599" spans="6:13" x14ac:dyDescent="0.2">
      <c r="F3599" s="312"/>
      <c r="M3599" s="312"/>
    </row>
    <row r="3600" spans="6:13" x14ac:dyDescent="0.2">
      <c r="F3600" s="312"/>
      <c r="M3600" s="312"/>
    </row>
    <row r="3601" spans="6:13" x14ac:dyDescent="0.2">
      <c r="F3601" s="312"/>
      <c r="M3601" s="312"/>
    </row>
    <row r="3602" spans="6:13" x14ac:dyDescent="0.2">
      <c r="F3602" s="312"/>
      <c r="M3602" s="312"/>
    </row>
    <row r="3603" spans="6:13" x14ac:dyDescent="0.2">
      <c r="F3603" s="312"/>
      <c r="M3603" s="312"/>
    </row>
    <row r="3604" spans="6:13" x14ac:dyDescent="0.2">
      <c r="F3604" s="312"/>
      <c r="M3604" s="312"/>
    </row>
    <row r="3605" spans="6:13" x14ac:dyDescent="0.2">
      <c r="F3605" s="312"/>
      <c r="M3605" s="312"/>
    </row>
    <row r="3606" spans="6:13" x14ac:dyDescent="0.2">
      <c r="F3606" s="312"/>
      <c r="M3606" s="312"/>
    </row>
    <row r="3607" spans="6:13" x14ac:dyDescent="0.2">
      <c r="F3607" s="312"/>
      <c r="M3607" s="312"/>
    </row>
    <row r="3608" spans="6:13" x14ac:dyDescent="0.2">
      <c r="F3608" s="312"/>
      <c r="M3608" s="312"/>
    </row>
    <row r="3609" spans="6:13" x14ac:dyDescent="0.2">
      <c r="F3609" s="312"/>
      <c r="M3609" s="312"/>
    </row>
    <row r="3610" spans="6:13" x14ac:dyDescent="0.2">
      <c r="F3610" s="312"/>
      <c r="M3610" s="312"/>
    </row>
    <row r="3611" spans="6:13" x14ac:dyDescent="0.2">
      <c r="F3611" s="312"/>
      <c r="M3611" s="312"/>
    </row>
    <row r="3612" spans="6:13" x14ac:dyDescent="0.2">
      <c r="F3612" s="312"/>
      <c r="M3612" s="312"/>
    </row>
    <row r="3613" spans="6:13" x14ac:dyDescent="0.2">
      <c r="F3613" s="312"/>
      <c r="M3613" s="312"/>
    </row>
    <row r="3614" spans="6:13" x14ac:dyDescent="0.2">
      <c r="F3614" s="312"/>
      <c r="M3614" s="312"/>
    </row>
    <row r="3615" spans="6:13" x14ac:dyDescent="0.2">
      <c r="F3615" s="312"/>
      <c r="M3615" s="312"/>
    </row>
    <row r="3616" spans="6:13" x14ac:dyDescent="0.2">
      <c r="F3616" s="312"/>
      <c r="M3616" s="312"/>
    </row>
    <row r="3617" spans="6:13" x14ac:dyDescent="0.2">
      <c r="F3617" s="312"/>
      <c r="M3617" s="312"/>
    </row>
    <row r="3618" spans="6:13" x14ac:dyDescent="0.2">
      <c r="F3618" s="312"/>
      <c r="M3618" s="312"/>
    </row>
    <row r="3619" spans="6:13" x14ac:dyDescent="0.2">
      <c r="F3619" s="312"/>
      <c r="M3619" s="312"/>
    </row>
    <row r="3620" spans="6:13" x14ac:dyDescent="0.2">
      <c r="F3620" s="312"/>
      <c r="M3620" s="312"/>
    </row>
    <row r="3621" spans="6:13" x14ac:dyDescent="0.2">
      <c r="F3621" s="312"/>
      <c r="M3621" s="312"/>
    </row>
    <row r="3622" spans="6:13" x14ac:dyDescent="0.2">
      <c r="F3622" s="312"/>
      <c r="M3622" s="312"/>
    </row>
    <row r="3623" spans="6:13" x14ac:dyDescent="0.2">
      <c r="F3623" s="312"/>
      <c r="M3623" s="312"/>
    </row>
    <row r="3624" spans="6:13" x14ac:dyDescent="0.2">
      <c r="F3624" s="312"/>
      <c r="M3624" s="312"/>
    </row>
    <row r="3625" spans="6:13" x14ac:dyDescent="0.2">
      <c r="F3625" s="312"/>
      <c r="M3625" s="312"/>
    </row>
    <row r="3626" spans="6:13" x14ac:dyDescent="0.2">
      <c r="F3626" s="312"/>
      <c r="M3626" s="312"/>
    </row>
    <row r="3627" spans="6:13" x14ac:dyDescent="0.2">
      <c r="F3627" s="312"/>
      <c r="M3627" s="312"/>
    </row>
    <row r="3628" spans="6:13" x14ac:dyDescent="0.2">
      <c r="F3628" s="312"/>
      <c r="M3628" s="312"/>
    </row>
    <row r="3629" spans="6:13" x14ac:dyDescent="0.2">
      <c r="F3629" s="312"/>
      <c r="M3629" s="312"/>
    </row>
    <row r="3630" spans="6:13" x14ac:dyDescent="0.2">
      <c r="F3630" s="312"/>
      <c r="M3630" s="312"/>
    </row>
    <row r="3631" spans="6:13" x14ac:dyDescent="0.2">
      <c r="F3631" s="312"/>
      <c r="M3631" s="312"/>
    </row>
    <row r="3632" spans="6:13" x14ac:dyDescent="0.2">
      <c r="F3632" s="312"/>
      <c r="M3632" s="312"/>
    </row>
    <row r="3633" spans="6:13" x14ac:dyDescent="0.2">
      <c r="F3633" s="312"/>
      <c r="M3633" s="312"/>
    </row>
    <row r="3634" spans="6:13" x14ac:dyDescent="0.2">
      <c r="F3634" s="312"/>
      <c r="M3634" s="312"/>
    </row>
    <row r="3635" spans="6:13" x14ac:dyDescent="0.2">
      <c r="F3635" s="312"/>
      <c r="M3635" s="312"/>
    </row>
    <row r="3636" spans="6:13" x14ac:dyDescent="0.2">
      <c r="F3636" s="312"/>
      <c r="M3636" s="312"/>
    </row>
    <row r="3637" spans="6:13" x14ac:dyDescent="0.2">
      <c r="F3637" s="312"/>
      <c r="M3637" s="312"/>
    </row>
    <row r="3645" spans="6:13" x14ac:dyDescent="0.2">
      <c r="F3645" s="312"/>
      <c r="M3645" s="312"/>
    </row>
    <row r="3646" spans="6:13" x14ac:dyDescent="0.2">
      <c r="F3646" s="312"/>
      <c r="M3646" s="312"/>
    </row>
    <row r="3647" spans="6:13" x14ac:dyDescent="0.2">
      <c r="F3647" s="312"/>
      <c r="M3647" s="312"/>
    </row>
    <row r="3648" spans="6:13" x14ac:dyDescent="0.2">
      <c r="F3648" s="312"/>
      <c r="M3648" s="312"/>
    </row>
    <row r="3649" spans="6:13" x14ac:dyDescent="0.2">
      <c r="F3649" s="312"/>
      <c r="M3649" s="312"/>
    </row>
    <row r="3650" spans="6:13" x14ac:dyDescent="0.2">
      <c r="F3650" s="312"/>
      <c r="M3650" s="312"/>
    </row>
    <row r="3651" spans="6:13" x14ac:dyDescent="0.2">
      <c r="F3651" s="312"/>
      <c r="M3651" s="312"/>
    </row>
    <row r="3652" spans="6:13" x14ac:dyDescent="0.2">
      <c r="F3652" s="312"/>
      <c r="M3652" s="312"/>
    </row>
    <row r="3653" spans="6:13" x14ac:dyDescent="0.2">
      <c r="F3653" s="312"/>
      <c r="M3653" s="312"/>
    </row>
    <row r="3654" spans="6:13" x14ac:dyDescent="0.2">
      <c r="F3654" s="312"/>
      <c r="M3654" s="312"/>
    </row>
    <row r="3655" spans="6:13" x14ac:dyDescent="0.2">
      <c r="F3655" s="312"/>
      <c r="M3655" s="312"/>
    </row>
    <row r="3656" spans="6:13" x14ac:dyDescent="0.2">
      <c r="F3656" s="312"/>
      <c r="M3656" s="312"/>
    </row>
    <row r="3657" spans="6:13" x14ac:dyDescent="0.2">
      <c r="F3657" s="312"/>
      <c r="M3657" s="312"/>
    </row>
    <row r="3658" spans="6:13" x14ac:dyDescent="0.2">
      <c r="F3658" s="312"/>
      <c r="M3658" s="312"/>
    </row>
    <row r="3669" spans="6:13" x14ac:dyDescent="0.2">
      <c r="F3669" s="312"/>
      <c r="M3669" s="312"/>
    </row>
    <row r="3670" spans="6:13" x14ac:dyDescent="0.2">
      <c r="F3670" s="312"/>
      <c r="M3670" s="312"/>
    </row>
    <row r="3671" spans="6:13" x14ac:dyDescent="0.2">
      <c r="F3671" s="312"/>
      <c r="M3671" s="312"/>
    </row>
    <row r="3672" spans="6:13" x14ac:dyDescent="0.2">
      <c r="F3672" s="312"/>
      <c r="M3672" s="312"/>
    </row>
    <row r="3673" spans="6:13" x14ac:dyDescent="0.2">
      <c r="F3673" s="312"/>
      <c r="M3673" s="312"/>
    </row>
    <row r="3674" spans="6:13" x14ac:dyDescent="0.2">
      <c r="F3674" s="312"/>
      <c r="M3674" s="312"/>
    </row>
    <row r="3675" spans="6:13" x14ac:dyDescent="0.2">
      <c r="F3675" s="312"/>
      <c r="M3675" s="312"/>
    </row>
    <row r="3676" spans="6:13" x14ac:dyDescent="0.2">
      <c r="F3676" s="312"/>
      <c r="M3676" s="312"/>
    </row>
    <row r="3677" spans="6:13" x14ac:dyDescent="0.2">
      <c r="F3677" s="312"/>
      <c r="M3677" s="312"/>
    </row>
    <row r="3678" spans="6:13" x14ac:dyDescent="0.2">
      <c r="F3678" s="312"/>
      <c r="M3678" s="312"/>
    </row>
    <row r="3679" spans="6:13" x14ac:dyDescent="0.2">
      <c r="F3679" s="312"/>
      <c r="M3679" s="312"/>
    </row>
    <row r="3690" spans="6:13" x14ac:dyDescent="0.2">
      <c r="F3690" s="312"/>
      <c r="M3690" s="312"/>
    </row>
    <row r="3691" spans="6:13" x14ac:dyDescent="0.2">
      <c r="F3691" s="312"/>
      <c r="M3691" s="312"/>
    </row>
    <row r="3692" spans="6:13" x14ac:dyDescent="0.2">
      <c r="F3692" s="312"/>
      <c r="M3692" s="312"/>
    </row>
    <row r="3693" spans="6:13" x14ac:dyDescent="0.2">
      <c r="F3693" s="312"/>
      <c r="M3693" s="312"/>
    </row>
    <row r="3694" spans="6:13" x14ac:dyDescent="0.2">
      <c r="F3694" s="312"/>
      <c r="M3694" s="312"/>
    </row>
    <row r="3695" spans="6:13" x14ac:dyDescent="0.2">
      <c r="F3695" s="312"/>
      <c r="M3695" s="312"/>
    </row>
    <row r="3696" spans="6:13" x14ac:dyDescent="0.2">
      <c r="F3696" s="312"/>
      <c r="M3696" s="312"/>
    </row>
    <row r="3697" spans="6:13" x14ac:dyDescent="0.2">
      <c r="F3697" s="312"/>
      <c r="M3697" s="312"/>
    </row>
    <row r="3698" spans="6:13" x14ac:dyDescent="0.2">
      <c r="F3698" s="312"/>
      <c r="M3698" s="312"/>
    </row>
    <row r="3699" spans="6:13" x14ac:dyDescent="0.2">
      <c r="F3699" s="312"/>
      <c r="M3699" s="312"/>
    </row>
    <row r="3700" spans="6:13" x14ac:dyDescent="0.2">
      <c r="F3700" s="312"/>
      <c r="M3700" s="312"/>
    </row>
    <row r="3701" spans="6:13" x14ac:dyDescent="0.2">
      <c r="F3701" s="312"/>
      <c r="M3701" s="312"/>
    </row>
    <row r="3702" spans="6:13" x14ac:dyDescent="0.2">
      <c r="F3702" s="312"/>
      <c r="M3702" s="312"/>
    </row>
    <row r="3703" spans="6:13" x14ac:dyDescent="0.2">
      <c r="F3703" s="312"/>
      <c r="M3703" s="312"/>
    </row>
    <row r="3704" spans="6:13" x14ac:dyDescent="0.2">
      <c r="F3704" s="312"/>
      <c r="M3704" s="312"/>
    </row>
    <row r="3705" spans="6:13" x14ac:dyDescent="0.2">
      <c r="F3705" s="312"/>
    </row>
    <row r="3706" spans="6:13" x14ac:dyDescent="0.2">
      <c r="F3706" s="312"/>
    </row>
    <row r="3707" spans="6:13" x14ac:dyDescent="0.2">
      <c r="F3707" s="312"/>
    </row>
    <row r="3708" spans="6:13" x14ac:dyDescent="0.2">
      <c r="F3708" s="312"/>
    </row>
    <row r="3709" spans="6:13" x14ac:dyDescent="0.2">
      <c r="F3709" s="312"/>
    </row>
    <row r="3711" spans="6:13" x14ac:dyDescent="0.2">
      <c r="F3711" s="312"/>
      <c r="M3711" s="312"/>
    </row>
    <row r="3712" spans="6:13" x14ac:dyDescent="0.2">
      <c r="F3712" s="312"/>
      <c r="M3712" s="312"/>
    </row>
    <row r="3713" spans="6:13" x14ac:dyDescent="0.2">
      <c r="F3713" s="312"/>
      <c r="M3713" s="312"/>
    </row>
    <row r="3714" spans="6:13" x14ac:dyDescent="0.2">
      <c r="F3714" s="312"/>
      <c r="M3714" s="312"/>
    </row>
    <row r="3715" spans="6:13" x14ac:dyDescent="0.2">
      <c r="F3715" s="312"/>
      <c r="M3715" s="312"/>
    </row>
    <row r="3716" spans="6:13" x14ac:dyDescent="0.2">
      <c r="F3716" s="312"/>
      <c r="M3716" s="312"/>
    </row>
    <row r="3717" spans="6:13" x14ac:dyDescent="0.2">
      <c r="F3717" s="312"/>
      <c r="M3717" s="312"/>
    </row>
    <row r="3718" spans="6:13" x14ac:dyDescent="0.2">
      <c r="F3718" s="312"/>
      <c r="M3718" s="312"/>
    </row>
    <row r="3719" spans="6:13" x14ac:dyDescent="0.2">
      <c r="F3719" s="312"/>
      <c r="M3719" s="312"/>
    </row>
    <row r="3720" spans="6:13" x14ac:dyDescent="0.2">
      <c r="F3720" s="312"/>
      <c r="M3720" s="312"/>
    </row>
    <row r="3721" spans="6:13" x14ac:dyDescent="0.2">
      <c r="F3721" s="312"/>
      <c r="M3721" s="312"/>
    </row>
    <row r="3722" spans="6:13" x14ac:dyDescent="0.2">
      <c r="F3722" s="312"/>
      <c r="M3722" s="312"/>
    </row>
    <row r="3723" spans="6:13" x14ac:dyDescent="0.2">
      <c r="F3723" s="312"/>
      <c r="M3723" s="312"/>
    </row>
    <row r="3724" spans="6:13" x14ac:dyDescent="0.2">
      <c r="F3724" s="312"/>
      <c r="M3724" s="312"/>
    </row>
    <row r="3725" spans="6:13" x14ac:dyDescent="0.2">
      <c r="F3725" s="312"/>
      <c r="M3725" s="312"/>
    </row>
    <row r="3730" spans="6:13" x14ac:dyDescent="0.2">
      <c r="F3730" s="312"/>
      <c r="M3730" s="312"/>
    </row>
    <row r="3731" spans="6:13" x14ac:dyDescent="0.2">
      <c r="F3731" s="312"/>
      <c r="M3731" s="312"/>
    </row>
    <row r="3732" spans="6:13" x14ac:dyDescent="0.2">
      <c r="F3732" s="312"/>
      <c r="M3732" s="312"/>
    </row>
    <row r="3733" spans="6:13" x14ac:dyDescent="0.2">
      <c r="F3733" s="312"/>
      <c r="M3733" s="312"/>
    </row>
    <row r="3734" spans="6:13" x14ac:dyDescent="0.2">
      <c r="F3734" s="312"/>
      <c r="M3734" s="312"/>
    </row>
    <row r="3735" spans="6:13" x14ac:dyDescent="0.2">
      <c r="F3735" s="312"/>
      <c r="M3735" s="312"/>
    </row>
    <row r="3736" spans="6:13" x14ac:dyDescent="0.2">
      <c r="F3736" s="312"/>
      <c r="M3736" s="312"/>
    </row>
    <row r="3737" spans="6:13" x14ac:dyDescent="0.2">
      <c r="F3737" s="312"/>
      <c r="M3737" s="312"/>
    </row>
    <row r="3738" spans="6:13" x14ac:dyDescent="0.2">
      <c r="F3738" s="312"/>
      <c r="M3738" s="312"/>
    </row>
    <row r="3739" spans="6:13" x14ac:dyDescent="0.2">
      <c r="F3739" s="312"/>
      <c r="M3739" s="312"/>
    </row>
    <row r="3740" spans="6:13" x14ac:dyDescent="0.2">
      <c r="F3740" s="312"/>
      <c r="M3740" s="312"/>
    </row>
    <row r="3741" spans="6:13" x14ac:dyDescent="0.2">
      <c r="F3741" s="312"/>
      <c r="M3741" s="312"/>
    </row>
    <row r="3742" spans="6:13" x14ac:dyDescent="0.2">
      <c r="F3742" s="312"/>
      <c r="M3742" s="312"/>
    </row>
    <row r="3743" spans="6:13" x14ac:dyDescent="0.2">
      <c r="F3743" s="312"/>
      <c r="M3743" s="312"/>
    </row>
    <row r="3744" spans="6:13" x14ac:dyDescent="0.2">
      <c r="F3744" s="312"/>
      <c r="M3744" s="312"/>
    </row>
    <row r="3745" spans="6:13" x14ac:dyDescent="0.2">
      <c r="F3745" s="312"/>
      <c r="M3745" s="312"/>
    </row>
    <row r="3746" spans="6:13" x14ac:dyDescent="0.2">
      <c r="F3746" s="312"/>
      <c r="M3746" s="312"/>
    </row>
    <row r="3747" spans="6:13" x14ac:dyDescent="0.2">
      <c r="F3747" s="312"/>
      <c r="M3747" s="312"/>
    </row>
    <row r="3748" spans="6:13" x14ac:dyDescent="0.2">
      <c r="F3748" s="312"/>
      <c r="M3748" s="312"/>
    </row>
    <row r="3749" spans="6:13" x14ac:dyDescent="0.2">
      <c r="F3749" s="312"/>
      <c r="M3749" s="312"/>
    </row>
    <row r="3750" spans="6:13" x14ac:dyDescent="0.2">
      <c r="F3750" s="312"/>
      <c r="M3750" s="312"/>
    </row>
    <row r="3751" spans="6:13" x14ac:dyDescent="0.2">
      <c r="F3751" s="312"/>
    </row>
    <row r="3752" spans="6:13" x14ac:dyDescent="0.2">
      <c r="F3752" s="312"/>
    </row>
    <row r="3753" spans="6:13" x14ac:dyDescent="0.2">
      <c r="F3753" s="312"/>
    </row>
    <row r="3754" spans="6:13" x14ac:dyDescent="0.2">
      <c r="F3754" s="312"/>
    </row>
    <row r="3755" spans="6:13" x14ac:dyDescent="0.2">
      <c r="F3755" s="312"/>
    </row>
    <row r="3756" spans="6:13" x14ac:dyDescent="0.2">
      <c r="F3756" s="312"/>
      <c r="M3756" s="312"/>
    </row>
    <row r="3757" spans="6:13" x14ac:dyDescent="0.2">
      <c r="F3757" s="312"/>
      <c r="M3757" s="312"/>
    </row>
    <row r="3758" spans="6:13" x14ac:dyDescent="0.2">
      <c r="F3758" s="312"/>
      <c r="M3758" s="312"/>
    </row>
    <row r="3759" spans="6:13" x14ac:dyDescent="0.2">
      <c r="F3759" s="312"/>
      <c r="M3759" s="312"/>
    </row>
    <row r="3760" spans="6:13" x14ac:dyDescent="0.2">
      <c r="F3760" s="312"/>
      <c r="M3760" s="312"/>
    </row>
    <row r="3761" spans="6:13" x14ac:dyDescent="0.2">
      <c r="F3761" s="312"/>
      <c r="M3761" s="312"/>
    </row>
    <row r="3762" spans="6:13" x14ac:dyDescent="0.2">
      <c r="F3762" s="312"/>
      <c r="M3762" s="312"/>
    </row>
    <row r="3763" spans="6:13" x14ac:dyDescent="0.2">
      <c r="F3763" s="312"/>
      <c r="M3763" s="312"/>
    </row>
    <row r="3764" spans="6:13" x14ac:dyDescent="0.2">
      <c r="F3764" s="312"/>
      <c r="M3764" s="312"/>
    </row>
    <row r="3765" spans="6:13" x14ac:dyDescent="0.2">
      <c r="F3765" s="312"/>
      <c r="M3765" s="312"/>
    </row>
    <row r="3766" spans="6:13" x14ac:dyDescent="0.2">
      <c r="F3766" s="312"/>
      <c r="M3766" s="312"/>
    </row>
    <row r="3767" spans="6:13" x14ac:dyDescent="0.2">
      <c r="F3767" s="312"/>
      <c r="M3767" s="312"/>
    </row>
    <row r="3768" spans="6:13" x14ac:dyDescent="0.2">
      <c r="F3768" s="312"/>
      <c r="M3768" s="312"/>
    </row>
    <row r="3769" spans="6:13" x14ac:dyDescent="0.2">
      <c r="F3769" s="312"/>
      <c r="M3769" s="312"/>
    </row>
    <row r="3770" spans="6:13" x14ac:dyDescent="0.2">
      <c r="F3770" s="312"/>
      <c r="M3770" s="312"/>
    </row>
    <row r="3771" spans="6:13" x14ac:dyDescent="0.2">
      <c r="F3771" s="312"/>
      <c r="M3771" s="312"/>
    </row>
    <row r="3777" spans="6:13" x14ac:dyDescent="0.2">
      <c r="F3777" s="312"/>
      <c r="M3777" s="312"/>
    </row>
    <row r="3778" spans="6:13" x14ac:dyDescent="0.2">
      <c r="F3778" s="312"/>
      <c r="M3778" s="312"/>
    </row>
    <row r="3779" spans="6:13" x14ac:dyDescent="0.2">
      <c r="F3779" s="312"/>
      <c r="M3779" s="312"/>
    </row>
    <row r="3780" spans="6:13" x14ac:dyDescent="0.2">
      <c r="F3780" s="312"/>
      <c r="M3780" s="312"/>
    </row>
    <row r="3781" spans="6:13" x14ac:dyDescent="0.2">
      <c r="F3781" s="312"/>
      <c r="M3781" s="312"/>
    </row>
    <row r="3782" spans="6:13" x14ac:dyDescent="0.2">
      <c r="F3782" s="312"/>
      <c r="M3782" s="312"/>
    </row>
    <row r="3783" spans="6:13" x14ac:dyDescent="0.2">
      <c r="F3783" s="312"/>
      <c r="M3783" s="312"/>
    </row>
    <row r="3784" spans="6:13" x14ac:dyDescent="0.2">
      <c r="F3784" s="312"/>
      <c r="M3784" s="312"/>
    </row>
    <row r="3785" spans="6:13" x14ac:dyDescent="0.2">
      <c r="F3785" s="312"/>
      <c r="M3785" s="312"/>
    </row>
    <row r="3786" spans="6:13" x14ac:dyDescent="0.2">
      <c r="F3786" s="312"/>
      <c r="M3786" s="312"/>
    </row>
    <row r="3787" spans="6:13" x14ac:dyDescent="0.2">
      <c r="F3787" s="312"/>
      <c r="M3787" s="312"/>
    </row>
    <row r="3788" spans="6:13" x14ac:dyDescent="0.2">
      <c r="F3788" s="312"/>
      <c r="M3788" s="312"/>
    </row>
    <row r="3789" spans="6:13" x14ac:dyDescent="0.2">
      <c r="F3789" s="312"/>
      <c r="M3789" s="312"/>
    </row>
    <row r="3790" spans="6:13" x14ac:dyDescent="0.2">
      <c r="F3790" s="312"/>
      <c r="M3790" s="312"/>
    </row>
    <row r="3791" spans="6:13" x14ac:dyDescent="0.2">
      <c r="F3791" s="312"/>
      <c r="M3791" s="312"/>
    </row>
    <row r="3792" spans="6:13" x14ac:dyDescent="0.2">
      <c r="F3792" s="312"/>
      <c r="M3792" s="312"/>
    </row>
    <row r="3793" spans="6:13" x14ac:dyDescent="0.2">
      <c r="F3793" s="312"/>
      <c r="M3793" s="312"/>
    </row>
    <row r="3794" spans="6:13" x14ac:dyDescent="0.2">
      <c r="F3794" s="312"/>
      <c r="M3794" s="312"/>
    </row>
    <row r="3795" spans="6:13" x14ac:dyDescent="0.2">
      <c r="F3795" s="312"/>
      <c r="M3795" s="312"/>
    </row>
    <row r="3796" spans="6:13" x14ac:dyDescent="0.2">
      <c r="F3796" s="312"/>
      <c r="M3796" s="312"/>
    </row>
    <row r="3797" spans="6:13" x14ac:dyDescent="0.2">
      <c r="F3797" s="312"/>
      <c r="M3797" s="312"/>
    </row>
    <row r="3798" spans="6:13" x14ac:dyDescent="0.2">
      <c r="F3798" s="312"/>
      <c r="M3798" s="312"/>
    </row>
    <row r="3799" spans="6:13" x14ac:dyDescent="0.2">
      <c r="F3799" s="312"/>
      <c r="M3799" s="312"/>
    </row>
    <row r="3800" spans="6:13" x14ac:dyDescent="0.2">
      <c r="F3800" s="312"/>
      <c r="M3800" s="312"/>
    </row>
    <row r="3801" spans="6:13" x14ac:dyDescent="0.2">
      <c r="F3801" s="312"/>
      <c r="M3801" s="312"/>
    </row>
    <row r="3802" spans="6:13" x14ac:dyDescent="0.2">
      <c r="F3802" s="312"/>
      <c r="M3802" s="312"/>
    </row>
    <row r="3812" spans="6:13" x14ac:dyDescent="0.2">
      <c r="F3812" s="312"/>
      <c r="M3812" s="312"/>
    </row>
    <row r="3813" spans="6:13" x14ac:dyDescent="0.2">
      <c r="F3813" s="312"/>
      <c r="M3813" s="312"/>
    </row>
    <row r="3814" spans="6:13" x14ac:dyDescent="0.2">
      <c r="F3814" s="312"/>
      <c r="M3814" s="312"/>
    </row>
    <row r="3815" spans="6:13" x14ac:dyDescent="0.2">
      <c r="F3815" s="312"/>
      <c r="M3815" s="312"/>
    </row>
    <row r="3816" spans="6:13" x14ac:dyDescent="0.2">
      <c r="F3816" s="312"/>
      <c r="M3816" s="312"/>
    </row>
    <row r="3817" spans="6:13" x14ac:dyDescent="0.2">
      <c r="F3817" s="312"/>
      <c r="M3817" s="312"/>
    </row>
    <row r="3818" spans="6:13" x14ac:dyDescent="0.2">
      <c r="F3818" s="312"/>
      <c r="M3818" s="312"/>
    </row>
    <row r="3819" spans="6:13" x14ac:dyDescent="0.2">
      <c r="F3819" s="312"/>
      <c r="M3819" s="312"/>
    </row>
    <row r="3820" spans="6:13" x14ac:dyDescent="0.2">
      <c r="F3820" s="312"/>
      <c r="M3820" s="312"/>
    </row>
    <row r="3821" spans="6:13" x14ac:dyDescent="0.2">
      <c r="F3821" s="312"/>
      <c r="M3821" s="312"/>
    </row>
    <row r="3822" spans="6:13" x14ac:dyDescent="0.2">
      <c r="F3822" s="312"/>
      <c r="M3822" s="312"/>
    </row>
    <row r="3823" spans="6:13" x14ac:dyDescent="0.2">
      <c r="F3823" s="312"/>
      <c r="M3823" s="312"/>
    </row>
    <row r="3824" spans="6:13" x14ac:dyDescent="0.2">
      <c r="F3824" s="312"/>
      <c r="M3824" s="312"/>
    </row>
    <row r="3825" spans="6:13" x14ac:dyDescent="0.2">
      <c r="F3825" s="312"/>
      <c r="M3825" s="312"/>
    </row>
    <row r="3826" spans="6:13" x14ac:dyDescent="0.2">
      <c r="F3826" s="312"/>
      <c r="M3826" s="312"/>
    </row>
    <row r="3827" spans="6:13" x14ac:dyDescent="0.2">
      <c r="F3827" s="312"/>
      <c r="M3827" s="312"/>
    </row>
    <row r="3833" spans="6:13" x14ac:dyDescent="0.2">
      <c r="F3833" s="312"/>
    </row>
    <row r="3834" spans="6:13" x14ac:dyDescent="0.2">
      <c r="F3834" s="312"/>
    </row>
    <row r="3835" spans="6:13" x14ac:dyDescent="0.2">
      <c r="F3835" s="312"/>
    </row>
    <row r="3836" spans="6:13" x14ac:dyDescent="0.2">
      <c r="F3836" s="312"/>
    </row>
    <row r="3837" spans="6:13" x14ac:dyDescent="0.2">
      <c r="F3837" s="312"/>
    </row>
    <row r="3838" spans="6:13" x14ac:dyDescent="0.2">
      <c r="F3838" s="312"/>
    </row>
    <row r="3839" spans="6:13" x14ac:dyDescent="0.2">
      <c r="F3839" s="312"/>
    </row>
    <row r="3840" spans="6:13" x14ac:dyDescent="0.2">
      <c r="F3840" s="312"/>
    </row>
    <row r="3841" spans="6:13" x14ac:dyDescent="0.2">
      <c r="F3841" s="312"/>
    </row>
    <row r="3842" spans="6:13" x14ac:dyDescent="0.2">
      <c r="F3842" s="312"/>
    </row>
    <row r="3843" spans="6:13" x14ac:dyDescent="0.2">
      <c r="F3843" s="312"/>
      <c r="M3843" s="312"/>
    </row>
    <row r="3848" spans="6:13" x14ac:dyDescent="0.2">
      <c r="F3848" s="312"/>
      <c r="M3848" s="312"/>
    </row>
    <row r="3849" spans="6:13" x14ac:dyDescent="0.2">
      <c r="F3849" s="312"/>
      <c r="M3849" s="312"/>
    </row>
    <row r="3850" spans="6:13" x14ac:dyDescent="0.2">
      <c r="F3850" s="312"/>
      <c r="M3850" s="312"/>
    </row>
    <row r="3851" spans="6:13" x14ac:dyDescent="0.2">
      <c r="F3851" s="312"/>
      <c r="M3851" s="312"/>
    </row>
    <row r="3852" spans="6:13" x14ac:dyDescent="0.2">
      <c r="F3852" s="312"/>
      <c r="M3852" s="312"/>
    </row>
    <row r="3854" spans="6:13" x14ac:dyDescent="0.2">
      <c r="F3854" s="312"/>
      <c r="M3854" s="312"/>
    </row>
    <row r="3855" spans="6:13" x14ac:dyDescent="0.2">
      <c r="F3855" s="312"/>
      <c r="M3855" s="312"/>
    </row>
    <row r="3856" spans="6:13" x14ac:dyDescent="0.2">
      <c r="F3856" s="312"/>
      <c r="M3856" s="312"/>
    </row>
    <row r="3857" spans="6:13" x14ac:dyDescent="0.2">
      <c r="F3857" s="312"/>
      <c r="M3857" s="312"/>
    </row>
    <row r="3858" spans="6:13" x14ac:dyDescent="0.2">
      <c r="F3858" s="312"/>
      <c r="M3858" s="312"/>
    </row>
    <row r="3859" spans="6:13" x14ac:dyDescent="0.2">
      <c r="F3859" s="312"/>
      <c r="M3859" s="312"/>
    </row>
    <row r="3860" spans="6:13" x14ac:dyDescent="0.2">
      <c r="F3860" s="312"/>
      <c r="M3860" s="312"/>
    </row>
    <row r="3861" spans="6:13" x14ac:dyDescent="0.2">
      <c r="F3861" s="312"/>
      <c r="M3861" s="312"/>
    </row>
    <row r="3862" spans="6:13" x14ac:dyDescent="0.2">
      <c r="F3862" s="312"/>
      <c r="M3862" s="312"/>
    </row>
    <row r="3863" spans="6:13" x14ac:dyDescent="0.2">
      <c r="F3863" s="312"/>
      <c r="M3863" s="312"/>
    </row>
    <row r="3864" spans="6:13" x14ac:dyDescent="0.2">
      <c r="F3864" s="312"/>
      <c r="M3864" s="312"/>
    </row>
    <row r="3865" spans="6:13" x14ac:dyDescent="0.2">
      <c r="F3865" s="312"/>
      <c r="M3865" s="312"/>
    </row>
    <row r="3866" spans="6:13" x14ac:dyDescent="0.2">
      <c r="F3866" s="312"/>
      <c r="M3866" s="312"/>
    </row>
    <row r="3867" spans="6:13" x14ac:dyDescent="0.2">
      <c r="F3867" s="312"/>
      <c r="M3867" s="312"/>
    </row>
    <row r="3868" spans="6:13" x14ac:dyDescent="0.2">
      <c r="F3868" s="312"/>
      <c r="M3868" s="312"/>
    </row>
    <row r="3873" spans="6:13" x14ac:dyDescent="0.2">
      <c r="F3873" s="312"/>
      <c r="M3873" s="312"/>
    </row>
    <row r="3874" spans="6:13" x14ac:dyDescent="0.2">
      <c r="F3874" s="312"/>
      <c r="M3874" s="312"/>
    </row>
    <row r="3875" spans="6:13" x14ac:dyDescent="0.2">
      <c r="F3875" s="312"/>
      <c r="M3875" s="312"/>
    </row>
    <row r="3876" spans="6:13" x14ac:dyDescent="0.2">
      <c r="F3876" s="312"/>
      <c r="M3876" s="312"/>
    </row>
    <row r="3877" spans="6:13" x14ac:dyDescent="0.2">
      <c r="F3877" s="312"/>
      <c r="M3877" s="312"/>
    </row>
    <row r="3878" spans="6:13" x14ac:dyDescent="0.2">
      <c r="F3878" s="312"/>
      <c r="M3878" s="312"/>
    </row>
    <row r="3879" spans="6:13" x14ac:dyDescent="0.2">
      <c r="F3879" s="312"/>
      <c r="M3879" s="312"/>
    </row>
    <row r="3880" spans="6:13" x14ac:dyDescent="0.2">
      <c r="F3880" s="312"/>
      <c r="M3880" s="312"/>
    </row>
    <row r="3881" spans="6:13" x14ac:dyDescent="0.2">
      <c r="F3881" s="312"/>
      <c r="M3881" s="312"/>
    </row>
    <row r="3882" spans="6:13" x14ac:dyDescent="0.2">
      <c r="F3882" s="312"/>
      <c r="M3882" s="312"/>
    </row>
    <row r="3883" spans="6:13" x14ac:dyDescent="0.2">
      <c r="F3883" s="312"/>
      <c r="M3883" s="312"/>
    </row>
    <row r="3884" spans="6:13" x14ac:dyDescent="0.2">
      <c r="F3884" s="312"/>
      <c r="M3884" s="312"/>
    </row>
    <row r="3885" spans="6:13" x14ac:dyDescent="0.2">
      <c r="F3885" s="312"/>
      <c r="M3885" s="312"/>
    </row>
    <row r="3886" spans="6:13" x14ac:dyDescent="0.2">
      <c r="F3886" s="312"/>
      <c r="M3886" s="312"/>
    </row>
    <row r="3887" spans="6:13" x14ac:dyDescent="0.2">
      <c r="F3887" s="312"/>
      <c r="M3887" s="312"/>
    </row>
    <row r="3888" spans="6:13" x14ac:dyDescent="0.2">
      <c r="F3888" s="312"/>
      <c r="M3888" s="312"/>
    </row>
    <row r="3889" spans="6:13" x14ac:dyDescent="0.2">
      <c r="F3889" s="312"/>
      <c r="M3889" s="312"/>
    </row>
    <row r="3900" spans="6:13" x14ac:dyDescent="0.2">
      <c r="F3900" s="312"/>
      <c r="M3900" s="312"/>
    </row>
    <row r="3901" spans="6:13" x14ac:dyDescent="0.2">
      <c r="F3901" s="312"/>
      <c r="M3901" s="312"/>
    </row>
    <row r="3902" spans="6:13" x14ac:dyDescent="0.2">
      <c r="F3902" s="312"/>
      <c r="M3902" s="312"/>
    </row>
    <row r="3903" spans="6:13" x14ac:dyDescent="0.2">
      <c r="F3903" s="312"/>
      <c r="M3903" s="312"/>
    </row>
    <row r="3904" spans="6:13" x14ac:dyDescent="0.2">
      <c r="F3904" s="312"/>
      <c r="M3904" s="312"/>
    </row>
    <row r="3905" spans="6:13" x14ac:dyDescent="0.2">
      <c r="F3905" s="312"/>
      <c r="M3905" s="312"/>
    </row>
    <row r="3906" spans="6:13" x14ac:dyDescent="0.2">
      <c r="F3906" s="312"/>
      <c r="M3906" s="312"/>
    </row>
    <row r="3907" spans="6:13" x14ac:dyDescent="0.2">
      <c r="F3907" s="312"/>
      <c r="M3907" s="312"/>
    </row>
    <row r="3908" spans="6:13" x14ac:dyDescent="0.2">
      <c r="F3908" s="312"/>
      <c r="M3908" s="312"/>
    </row>
    <row r="3909" spans="6:13" x14ac:dyDescent="0.2">
      <c r="F3909" s="312"/>
      <c r="M3909" s="312"/>
    </row>
    <row r="3910" spans="6:13" x14ac:dyDescent="0.2">
      <c r="F3910" s="312"/>
      <c r="M3910" s="312"/>
    </row>
    <row r="3911" spans="6:13" x14ac:dyDescent="0.2">
      <c r="F3911" s="312"/>
      <c r="M3911" s="312"/>
    </row>
    <row r="3912" spans="6:13" x14ac:dyDescent="0.2">
      <c r="F3912" s="312"/>
      <c r="M3912" s="312"/>
    </row>
    <row r="3913" spans="6:13" x14ac:dyDescent="0.2">
      <c r="F3913" s="312"/>
      <c r="M3913" s="312"/>
    </row>
    <row r="3914" spans="6:13" x14ac:dyDescent="0.2">
      <c r="F3914" s="312"/>
      <c r="M3914" s="312"/>
    </row>
    <row r="3915" spans="6:13" x14ac:dyDescent="0.2">
      <c r="F3915" s="312"/>
    </row>
    <row r="3916" spans="6:13" x14ac:dyDescent="0.2">
      <c r="F3916" s="312"/>
    </row>
    <row r="3917" spans="6:13" x14ac:dyDescent="0.2">
      <c r="F3917" s="312"/>
    </row>
    <row r="3918" spans="6:13" x14ac:dyDescent="0.2">
      <c r="F3918" s="312"/>
    </row>
    <row r="3919" spans="6:13" x14ac:dyDescent="0.2">
      <c r="F3919" s="312"/>
    </row>
    <row r="3925" spans="6:13" x14ac:dyDescent="0.2">
      <c r="F3925" s="312"/>
      <c r="M3925" s="312"/>
    </row>
    <row r="3926" spans="6:13" x14ac:dyDescent="0.2">
      <c r="F3926" s="312"/>
      <c r="M3926" s="312"/>
    </row>
    <row r="3927" spans="6:13" x14ac:dyDescent="0.2">
      <c r="F3927" s="312"/>
      <c r="M3927" s="312"/>
    </row>
    <row r="3928" spans="6:13" x14ac:dyDescent="0.2">
      <c r="F3928" s="312"/>
      <c r="M3928" s="312"/>
    </row>
    <row r="3929" spans="6:13" x14ac:dyDescent="0.2">
      <c r="F3929" s="312"/>
      <c r="M3929" s="312"/>
    </row>
    <row r="3930" spans="6:13" x14ac:dyDescent="0.2">
      <c r="F3930" s="312"/>
      <c r="M3930" s="312"/>
    </row>
    <row r="3931" spans="6:13" x14ac:dyDescent="0.2">
      <c r="F3931" s="312"/>
      <c r="M3931" s="312"/>
    </row>
    <row r="3932" spans="6:13" x14ac:dyDescent="0.2">
      <c r="F3932" s="312"/>
      <c r="M3932" s="312"/>
    </row>
    <row r="3933" spans="6:13" x14ac:dyDescent="0.2">
      <c r="F3933" s="312"/>
      <c r="M3933" s="312"/>
    </row>
    <row r="3934" spans="6:13" x14ac:dyDescent="0.2">
      <c r="F3934" s="312"/>
      <c r="M3934" s="312"/>
    </row>
    <row r="3935" spans="6:13" x14ac:dyDescent="0.2">
      <c r="F3935" s="312"/>
      <c r="M3935" s="312"/>
    </row>
    <row r="3940" spans="6:13" x14ac:dyDescent="0.2">
      <c r="F3940" s="312"/>
    </row>
    <row r="3941" spans="6:13" x14ac:dyDescent="0.2">
      <c r="F3941" s="312"/>
    </row>
    <row r="3942" spans="6:13" x14ac:dyDescent="0.2">
      <c r="F3942" s="312"/>
    </row>
    <row r="3943" spans="6:13" x14ac:dyDescent="0.2">
      <c r="F3943" s="312"/>
    </row>
    <row r="3944" spans="6:13" x14ac:dyDescent="0.2">
      <c r="F3944" s="312"/>
    </row>
    <row r="3946" spans="6:13" x14ac:dyDescent="0.2">
      <c r="F3946" s="312"/>
      <c r="M3946" s="312"/>
    </row>
    <row r="3947" spans="6:13" x14ac:dyDescent="0.2">
      <c r="F3947" s="312"/>
      <c r="M3947" s="312"/>
    </row>
    <row r="3948" spans="6:13" x14ac:dyDescent="0.2">
      <c r="F3948" s="312"/>
      <c r="M3948" s="312"/>
    </row>
    <row r="3949" spans="6:13" x14ac:dyDescent="0.2">
      <c r="F3949" s="312"/>
      <c r="M3949" s="312"/>
    </row>
    <row r="3950" spans="6:13" x14ac:dyDescent="0.2">
      <c r="F3950" s="312"/>
      <c r="M3950" s="312"/>
    </row>
    <row r="3951" spans="6:13" x14ac:dyDescent="0.2">
      <c r="F3951" s="312"/>
      <c r="M3951" s="312"/>
    </row>
    <row r="3952" spans="6:13" x14ac:dyDescent="0.2">
      <c r="F3952" s="312"/>
      <c r="M3952" s="312"/>
    </row>
    <row r="3953" spans="6:13" x14ac:dyDescent="0.2">
      <c r="F3953" s="312"/>
      <c r="M3953" s="312"/>
    </row>
    <row r="3954" spans="6:13" x14ac:dyDescent="0.2">
      <c r="F3954" s="312"/>
      <c r="M3954" s="312"/>
    </row>
    <row r="3955" spans="6:13" x14ac:dyDescent="0.2">
      <c r="F3955" s="312"/>
      <c r="M3955" s="312"/>
    </row>
    <row r="3956" spans="6:13" x14ac:dyDescent="0.2">
      <c r="F3956" s="312"/>
      <c r="M3956" s="312"/>
    </row>
    <row r="3957" spans="6:13" x14ac:dyDescent="0.2">
      <c r="F3957" s="312"/>
      <c r="M3957" s="312"/>
    </row>
    <row r="3958" spans="6:13" x14ac:dyDescent="0.2">
      <c r="F3958" s="312"/>
      <c r="M3958" s="312"/>
    </row>
    <row r="3959" spans="6:13" x14ac:dyDescent="0.2">
      <c r="F3959" s="312"/>
      <c r="M3959" s="312"/>
    </row>
    <row r="3960" spans="6:13" x14ac:dyDescent="0.2">
      <c r="F3960" s="312"/>
      <c r="M3960" s="312"/>
    </row>
    <row r="3961" spans="6:13" x14ac:dyDescent="0.2">
      <c r="F3961" s="312"/>
      <c r="M3961" s="312"/>
    </row>
    <row r="3962" spans="6:13" x14ac:dyDescent="0.2">
      <c r="F3962" s="312"/>
      <c r="M3962" s="312"/>
    </row>
    <row r="3963" spans="6:13" x14ac:dyDescent="0.2">
      <c r="F3963" s="312"/>
      <c r="M3963" s="312"/>
    </row>
    <row r="3964" spans="6:13" x14ac:dyDescent="0.2">
      <c r="F3964" s="312"/>
      <c r="M3964" s="312"/>
    </row>
    <row r="3965" spans="6:13" x14ac:dyDescent="0.2">
      <c r="F3965" s="312"/>
      <c r="M3965" s="312"/>
    </row>
    <row r="3966" spans="6:13" x14ac:dyDescent="0.2">
      <c r="F3966" s="312"/>
      <c r="M3966" s="312"/>
    </row>
    <row r="3971" spans="6:13" x14ac:dyDescent="0.2">
      <c r="F3971" s="312"/>
      <c r="M3971" s="312"/>
    </row>
    <row r="3972" spans="6:13" x14ac:dyDescent="0.2">
      <c r="F3972" s="312"/>
      <c r="M3972" s="312"/>
    </row>
    <row r="3973" spans="6:13" x14ac:dyDescent="0.2">
      <c r="F3973" s="312"/>
      <c r="M3973" s="312"/>
    </row>
    <row r="3974" spans="6:13" x14ac:dyDescent="0.2">
      <c r="F3974" s="312"/>
      <c r="M3974" s="312"/>
    </row>
    <row r="3975" spans="6:13" x14ac:dyDescent="0.2">
      <c r="F3975" s="312"/>
      <c r="M3975" s="312"/>
    </row>
    <row r="3977" spans="6:13" x14ac:dyDescent="0.2">
      <c r="F3977" s="312"/>
      <c r="M3977" s="312"/>
    </row>
    <row r="3978" spans="6:13" x14ac:dyDescent="0.2">
      <c r="F3978" s="312"/>
      <c r="M3978" s="312"/>
    </row>
    <row r="3979" spans="6:13" x14ac:dyDescent="0.2">
      <c r="F3979" s="312"/>
      <c r="M3979" s="312"/>
    </row>
    <row r="3980" spans="6:13" x14ac:dyDescent="0.2">
      <c r="F3980" s="312"/>
      <c r="M3980" s="312"/>
    </row>
    <row r="3981" spans="6:13" x14ac:dyDescent="0.2">
      <c r="F3981" s="312"/>
      <c r="M3981" s="312"/>
    </row>
    <row r="3982" spans="6:13" x14ac:dyDescent="0.2">
      <c r="F3982" s="312"/>
      <c r="M3982" s="312"/>
    </row>
    <row r="3983" spans="6:13" x14ac:dyDescent="0.2">
      <c r="F3983" s="312"/>
      <c r="M3983" s="312"/>
    </row>
    <row r="3984" spans="6:13" x14ac:dyDescent="0.2">
      <c r="F3984" s="312"/>
      <c r="M3984" s="312"/>
    </row>
    <row r="3985" spans="6:13" x14ac:dyDescent="0.2">
      <c r="F3985" s="312"/>
      <c r="M3985" s="312"/>
    </row>
    <row r="3986" spans="6:13" x14ac:dyDescent="0.2">
      <c r="F3986" s="312"/>
      <c r="M3986" s="312"/>
    </row>
    <row r="3987" spans="6:13" x14ac:dyDescent="0.2">
      <c r="F3987" s="312"/>
      <c r="M3987" s="312"/>
    </row>
    <row r="3996" spans="6:13" x14ac:dyDescent="0.2">
      <c r="F3996" s="312"/>
      <c r="M3996" s="312"/>
    </row>
    <row r="3997" spans="6:13" x14ac:dyDescent="0.2">
      <c r="F3997" s="312"/>
      <c r="M3997" s="312"/>
    </row>
    <row r="3998" spans="6:13" x14ac:dyDescent="0.2">
      <c r="F3998" s="312"/>
      <c r="M3998" s="312"/>
    </row>
    <row r="3999" spans="6:13" x14ac:dyDescent="0.2">
      <c r="F3999" s="312"/>
      <c r="M3999" s="312"/>
    </row>
    <row r="4000" spans="6:13" x14ac:dyDescent="0.2">
      <c r="F4000" s="312"/>
      <c r="M4000" s="312"/>
    </row>
    <row r="4001" spans="6:13" x14ac:dyDescent="0.2">
      <c r="F4001" s="312"/>
    </row>
    <row r="4002" spans="6:13" x14ac:dyDescent="0.2">
      <c r="F4002" s="312"/>
    </row>
    <row r="4008" spans="6:13" x14ac:dyDescent="0.2">
      <c r="F4008" s="312"/>
      <c r="M4008" s="312"/>
    </row>
    <row r="4019" spans="6:13" x14ac:dyDescent="0.2">
      <c r="F4019" s="312"/>
      <c r="M4019" s="312"/>
    </row>
    <row r="4020" spans="6:13" x14ac:dyDescent="0.2">
      <c r="F4020" s="312"/>
      <c r="M4020" s="312"/>
    </row>
    <row r="4021" spans="6:13" x14ac:dyDescent="0.2">
      <c r="F4021" s="312"/>
      <c r="M4021" s="312"/>
    </row>
    <row r="4022" spans="6:13" x14ac:dyDescent="0.2">
      <c r="F4022" s="312"/>
      <c r="M4022" s="312"/>
    </row>
    <row r="4023" spans="6:13" x14ac:dyDescent="0.2">
      <c r="F4023" s="312"/>
      <c r="M4023" s="312"/>
    </row>
    <row r="4024" spans="6:13" x14ac:dyDescent="0.2">
      <c r="F4024" s="312"/>
      <c r="M4024" s="312"/>
    </row>
    <row r="4025" spans="6:13" x14ac:dyDescent="0.2">
      <c r="F4025" s="312"/>
      <c r="M4025" s="312"/>
    </row>
    <row r="4026" spans="6:13" x14ac:dyDescent="0.2">
      <c r="F4026" s="312"/>
      <c r="M4026" s="312"/>
    </row>
    <row r="4027" spans="6:13" x14ac:dyDescent="0.2">
      <c r="F4027" s="312"/>
      <c r="M4027" s="312"/>
    </row>
    <row r="4028" spans="6:13" x14ac:dyDescent="0.2">
      <c r="F4028" s="312"/>
      <c r="M4028" s="312"/>
    </row>
    <row r="4029" spans="6:13" x14ac:dyDescent="0.2">
      <c r="F4029" s="312"/>
      <c r="M4029" s="312"/>
    </row>
    <row r="4030" spans="6:13" x14ac:dyDescent="0.2">
      <c r="F4030" s="312"/>
      <c r="M4030" s="312"/>
    </row>
    <row r="4031" spans="6:13" x14ac:dyDescent="0.2">
      <c r="F4031" s="312"/>
      <c r="M4031" s="312"/>
    </row>
    <row r="4032" spans="6:13" x14ac:dyDescent="0.2">
      <c r="F4032" s="312"/>
      <c r="M4032" s="312"/>
    </row>
    <row r="4033" spans="6:13" x14ac:dyDescent="0.2">
      <c r="F4033" s="312"/>
      <c r="M4033" s="312"/>
    </row>
    <row r="4043" spans="6:13" x14ac:dyDescent="0.2">
      <c r="F4043" s="312"/>
    </row>
    <row r="4044" spans="6:13" x14ac:dyDescent="0.2">
      <c r="F4044" s="312"/>
      <c r="M4044" s="312"/>
    </row>
    <row r="4045" spans="6:13" x14ac:dyDescent="0.2">
      <c r="F4045" s="312"/>
      <c r="M4045" s="312"/>
    </row>
    <row r="4046" spans="6:13" x14ac:dyDescent="0.2">
      <c r="F4046" s="312"/>
      <c r="M4046" s="312"/>
    </row>
    <row r="4047" spans="6:13" x14ac:dyDescent="0.2">
      <c r="F4047" s="312"/>
      <c r="M4047" s="312"/>
    </row>
    <row r="4048" spans="6:13" x14ac:dyDescent="0.2">
      <c r="F4048" s="312"/>
      <c r="M4048" s="312"/>
    </row>
    <row r="4049" spans="6:13" x14ac:dyDescent="0.2">
      <c r="F4049" s="312"/>
      <c r="M4049" s="312"/>
    </row>
    <row r="4050" spans="6:13" x14ac:dyDescent="0.2">
      <c r="F4050" s="312"/>
      <c r="M4050" s="312"/>
    </row>
    <row r="4051" spans="6:13" x14ac:dyDescent="0.2">
      <c r="F4051" s="312"/>
      <c r="M4051" s="312"/>
    </row>
    <row r="4052" spans="6:13" x14ac:dyDescent="0.2">
      <c r="F4052" s="312"/>
      <c r="M4052" s="312"/>
    </row>
    <row r="4053" spans="6:13" x14ac:dyDescent="0.2">
      <c r="F4053" s="312"/>
      <c r="M4053" s="312"/>
    </row>
    <row r="4054" spans="6:13" x14ac:dyDescent="0.2">
      <c r="F4054" s="312"/>
      <c r="M4054" s="312"/>
    </row>
    <row r="4055" spans="6:13" x14ac:dyDescent="0.2">
      <c r="F4055" s="312"/>
      <c r="M4055" s="312"/>
    </row>
    <row r="4056" spans="6:13" x14ac:dyDescent="0.2">
      <c r="F4056" s="312"/>
      <c r="M4056" s="312"/>
    </row>
    <row r="4057" spans="6:13" x14ac:dyDescent="0.2">
      <c r="F4057" s="312"/>
      <c r="M4057" s="312"/>
    </row>
    <row r="4058" spans="6:13" x14ac:dyDescent="0.2">
      <c r="F4058" s="312"/>
      <c r="M4058" s="312"/>
    </row>
    <row r="4059" spans="6:13" x14ac:dyDescent="0.2">
      <c r="F4059" s="312"/>
      <c r="M4059" s="312"/>
    </row>
    <row r="4060" spans="6:13" x14ac:dyDescent="0.2">
      <c r="F4060" s="312"/>
      <c r="M4060" s="312"/>
    </row>
    <row r="4061" spans="6:13" x14ac:dyDescent="0.2">
      <c r="F4061" s="312"/>
      <c r="M4061" s="312"/>
    </row>
    <row r="4062" spans="6:13" x14ac:dyDescent="0.2">
      <c r="F4062" s="312"/>
      <c r="M4062" s="312"/>
    </row>
    <row r="4063" spans="6:13" x14ac:dyDescent="0.2">
      <c r="F4063" s="312"/>
      <c r="M4063" s="312"/>
    </row>
    <row r="4064" spans="6:13" x14ac:dyDescent="0.2">
      <c r="F4064" s="312"/>
      <c r="M4064" s="312"/>
    </row>
    <row r="4065" spans="6:13" x14ac:dyDescent="0.2">
      <c r="F4065" s="312"/>
      <c r="M4065" s="312"/>
    </row>
    <row r="4066" spans="6:13" x14ac:dyDescent="0.2">
      <c r="F4066" s="312"/>
      <c r="M4066" s="312"/>
    </row>
    <row r="4067" spans="6:13" x14ac:dyDescent="0.2">
      <c r="F4067" s="312"/>
      <c r="M4067" s="312"/>
    </row>
    <row r="4068" spans="6:13" x14ac:dyDescent="0.2">
      <c r="F4068" s="312"/>
      <c r="M4068" s="312"/>
    </row>
    <row r="4069" spans="6:13" x14ac:dyDescent="0.2">
      <c r="F4069" s="312"/>
      <c r="M4069" s="312"/>
    </row>
    <row r="4070" spans="6:13" x14ac:dyDescent="0.2">
      <c r="F4070" s="312"/>
      <c r="M4070" s="312"/>
    </row>
    <row r="4071" spans="6:13" x14ac:dyDescent="0.2">
      <c r="F4071" s="312"/>
      <c r="M4071" s="312"/>
    </row>
    <row r="4072" spans="6:13" x14ac:dyDescent="0.2">
      <c r="F4072" s="312"/>
      <c r="M4072" s="312"/>
    </row>
    <row r="4073" spans="6:13" x14ac:dyDescent="0.2">
      <c r="F4073" s="312"/>
      <c r="M4073" s="312"/>
    </row>
    <row r="4074" spans="6:13" x14ac:dyDescent="0.2">
      <c r="F4074" s="312"/>
      <c r="M4074" s="312"/>
    </row>
    <row r="4075" spans="6:13" x14ac:dyDescent="0.2">
      <c r="F4075" s="312"/>
      <c r="M4075" s="312"/>
    </row>
    <row r="4076" spans="6:13" x14ac:dyDescent="0.2">
      <c r="F4076" s="312"/>
      <c r="M4076" s="312"/>
    </row>
    <row r="4077" spans="6:13" x14ac:dyDescent="0.2">
      <c r="F4077" s="312"/>
      <c r="M4077" s="312"/>
    </row>
    <row r="4078" spans="6:13" x14ac:dyDescent="0.2">
      <c r="F4078" s="312"/>
      <c r="M4078" s="312"/>
    </row>
    <row r="4079" spans="6:13" x14ac:dyDescent="0.2">
      <c r="F4079" s="312"/>
      <c r="M4079" s="312"/>
    </row>
    <row r="4080" spans="6:13" x14ac:dyDescent="0.2">
      <c r="F4080" s="312"/>
    </row>
    <row r="4081" spans="6:13" x14ac:dyDescent="0.2">
      <c r="F4081" s="312"/>
      <c r="M4081" s="312"/>
    </row>
    <row r="4082" spans="6:13" x14ac:dyDescent="0.2">
      <c r="F4082" s="312"/>
      <c r="M4082" s="312"/>
    </row>
    <row r="4083" spans="6:13" x14ac:dyDescent="0.2">
      <c r="F4083" s="312"/>
      <c r="M4083" s="312"/>
    </row>
    <row r="4084" spans="6:13" x14ac:dyDescent="0.2">
      <c r="F4084" s="312"/>
      <c r="M4084" s="312"/>
    </row>
    <row r="4085" spans="6:13" x14ac:dyDescent="0.2">
      <c r="F4085" s="312"/>
      <c r="M4085" s="312"/>
    </row>
    <row r="4086" spans="6:13" x14ac:dyDescent="0.2">
      <c r="F4086" s="312"/>
      <c r="M4086" s="312"/>
    </row>
    <row r="4087" spans="6:13" x14ac:dyDescent="0.2">
      <c r="F4087" s="312"/>
      <c r="M4087" s="312"/>
    </row>
    <row r="4088" spans="6:13" x14ac:dyDescent="0.2">
      <c r="F4088" s="312"/>
      <c r="M4088" s="312"/>
    </row>
    <row r="4089" spans="6:13" x14ac:dyDescent="0.2">
      <c r="F4089" s="312"/>
      <c r="M4089" s="312"/>
    </row>
    <row r="4090" spans="6:13" x14ac:dyDescent="0.2">
      <c r="F4090" s="312"/>
      <c r="M4090" s="312"/>
    </row>
    <row r="4091" spans="6:13" x14ac:dyDescent="0.2">
      <c r="F4091" s="312"/>
      <c r="M4091" s="312"/>
    </row>
    <row r="4092" spans="6:13" x14ac:dyDescent="0.2">
      <c r="F4092" s="312"/>
      <c r="M4092" s="312"/>
    </row>
    <row r="4093" spans="6:13" x14ac:dyDescent="0.2">
      <c r="F4093" s="312"/>
      <c r="M4093" s="312"/>
    </row>
    <row r="4094" spans="6:13" x14ac:dyDescent="0.2">
      <c r="F4094" s="312"/>
      <c r="M4094" s="312"/>
    </row>
    <row r="4095" spans="6:13" x14ac:dyDescent="0.2">
      <c r="F4095" s="312"/>
      <c r="M4095" s="312"/>
    </row>
    <row r="4096" spans="6:13" x14ac:dyDescent="0.2">
      <c r="F4096" s="312"/>
      <c r="M4096" s="312"/>
    </row>
    <row r="4097" spans="6:13" x14ac:dyDescent="0.2">
      <c r="F4097" s="312"/>
      <c r="M4097" s="312"/>
    </row>
    <row r="4098" spans="6:13" x14ac:dyDescent="0.2">
      <c r="F4098" s="312"/>
      <c r="M4098" s="312"/>
    </row>
    <row r="4099" spans="6:13" x14ac:dyDescent="0.2">
      <c r="F4099" s="312"/>
      <c r="M4099" s="312"/>
    </row>
    <row r="4100" spans="6:13" x14ac:dyDescent="0.2">
      <c r="F4100" s="312"/>
      <c r="M4100" s="312"/>
    </row>
    <row r="4101" spans="6:13" x14ac:dyDescent="0.2">
      <c r="F4101" s="312"/>
      <c r="M4101" s="312"/>
    </row>
    <row r="4102" spans="6:13" x14ac:dyDescent="0.2">
      <c r="F4102" s="312"/>
      <c r="M4102" s="312"/>
    </row>
    <row r="4103" spans="6:13" x14ac:dyDescent="0.2">
      <c r="F4103" s="312"/>
      <c r="M4103" s="312"/>
    </row>
    <row r="4104" spans="6:13" x14ac:dyDescent="0.2">
      <c r="F4104" s="312"/>
      <c r="M4104" s="312"/>
    </row>
    <row r="4105" spans="6:13" x14ac:dyDescent="0.2">
      <c r="F4105" s="312"/>
      <c r="M4105" s="312"/>
    </row>
    <row r="4106" spans="6:13" x14ac:dyDescent="0.2">
      <c r="F4106" s="312"/>
      <c r="M4106" s="312"/>
    </row>
    <row r="4107" spans="6:13" x14ac:dyDescent="0.2">
      <c r="F4107" s="312"/>
      <c r="M4107" s="312"/>
    </row>
    <row r="4108" spans="6:13" x14ac:dyDescent="0.2">
      <c r="F4108" s="312"/>
      <c r="M4108" s="312"/>
    </row>
    <row r="4109" spans="6:13" x14ac:dyDescent="0.2">
      <c r="F4109" s="312"/>
      <c r="M4109" s="312"/>
    </row>
    <row r="4110" spans="6:13" x14ac:dyDescent="0.2">
      <c r="F4110" s="312"/>
      <c r="M4110" s="312"/>
    </row>
    <row r="4111" spans="6:13" x14ac:dyDescent="0.2">
      <c r="F4111" s="312"/>
      <c r="M4111" s="312"/>
    </row>
    <row r="4112" spans="6:13" x14ac:dyDescent="0.2">
      <c r="F4112" s="312"/>
      <c r="M4112" s="312"/>
    </row>
    <row r="4113" spans="6:13" x14ac:dyDescent="0.2">
      <c r="F4113" s="312"/>
      <c r="M4113" s="312"/>
    </row>
    <row r="4114" spans="6:13" x14ac:dyDescent="0.2">
      <c r="F4114" s="312"/>
      <c r="M4114" s="312"/>
    </row>
    <row r="4115" spans="6:13" x14ac:dyDescent="0.2">
      <c r="F4115" s="312"/>
      <c r="M4115" s="312"/>
    </row>
    <row r="4116" spans="6:13" x14ac:dyDescent="0.2">
      <c r="F4116" s="312"/>
      <c r="M4116" s="312"/>
    </row>
    <row r="4117" spans="6:13" x14ac:dyDescent="0.2">
      <c r="F4117" s="312"/>
      <c r="M4117" s="312"/>
    </row>
    <row r="4118" spans="6:13" x14ac:dyDescent="0.2">
      <c r="F4118" s="312"/>
      <c r="M4118" s="312"/>
    </row>
    <row r="4119" spans="6:13" x14ac:dyDescent="0.2">
      <c r="F4119" s="312"/>
      <c r="M4119" s="312"/>
    </row>
    <row r="4120" spans="6:13" x14ac:dyDescent="0.2">
      <c r="F4120" s="312"/>
      <c r="M4120" s="312"/>
    </row>
    <row r="4121" spans="6:13" x14ac:dyDescent="0.2">
      <c r="F4121" s="312"/>
      <c r="M4121" s="312"/>
    </row>
    <row r="4122" spans="6:13" x14ac:dyDescent="0.2">
      <c r="F4122" s="312"/>
      <c r="M4122" s="312"/>
    </row>
    <row r="4123" spans="6:13" x14ac:dyDescent="0.2">
      <c r="F4123" s="312"/>
      <c r="M4123" s="312"/>
    </row>
    <row r="4124" spans="6:13" x14ac:dyDescent="0.2">
      <c r="F4124" s="312"/>
      <c r="M4124" s="312"/>
    </row>
    <row r="4125" spans="6:13" x14ac:dyDescent="0.2">
      <c r="F4125" s="312"/>
      <c r="M4125" s="312"/>
    </row>
    <row r="4126" spans="6:13" x14ac:dyDescent="0.2">
      <c r="F4126" s="312"/>
      <c r="M4126" s="312"/>
    </row>
    <row r="4127" spans="6:13" x14ac:dyDescent="0.2">
      <c r="F4127" s="312"/>
      <c r="M4127" s="312"/>
    </row>
    <row r="4128" spans="6:13" x14ac:dyDescent="0.2">
      <c r="F4128" s="312"/>
      <c r="M4128" s="312"/>
    </row>
    <row r="4129" spans="6:13" x14ac:dyDescent="0.2">
      <c r="F4129" s="312"/>
      <c r="M4129" s="312"/>
    </row>
    <row r="4130" spans="6:13" x14ac:dyDescent="0.2">
      <c r="F4130" s="312"/>
      <c r="M4130" s="312"/>
    </row>
    <row r="4131" spans="6:13" x14ac:dyDescent="0.2">
      <c r="F4131" s="312"/>
      <c r="M4131" s="312"/>
    </row>
    <row r="4132" spans="6:13" x14ac:dyDescent="0.2">
      <c r="F4132" s="312"/>
      <c r="M4132" s="312"/>
    </row>
    <row r="4133" spans="6:13" x14ac:dyDescent="0.2">
      <c r="F4133" s="312"/>
      <c r="M4133" s="312"/>
    </row>
    <row r="4134" spans="6:13" x14ac:dyDescent="0.2">
      <c r="F4134" s="312"/>
      <c r="M4134" s="312"/>
    </row>
    <row r="4135" spans="6:13" x14ac:dyDescent="0.2">
      <c r="F4135" s="312"/>
      <c r="M4135" s="312"/>
    </row>
    <row r="4136" spans="6:13" x14ac:dyDescent="0.2">
      <c r="F4136" s="312"/>
      <c r="M4136" s="312"/>
    </row>
    <row r="4137" spans="6:13" x14ac:dyDescent="0.2">
      <c r="F4137" s="312"/>
      <c r="M4137" s="312"/>
    </row>
    <row r="4138" spans="6:13" x14ac:dyDescent="0.2">
      <c r="F4138" s="312"/>
      <c r="M4138" s="312"/>
    </row>
    <row r="4139" spans="6:13" x14ac:dyDescent="0.2">
      <c r="F4139" s="312"/>
      <c r="M4139" s="312"/>
    </row>
    <row r="4140" spans="6:13" x14ac:dyDescent="0.2">
      <c r="F4140" s="312"/>
      <c r="M4140" s="312"/>
    </row>
    <row r="4141" spans="6:13" x14ac:dyDescent="0.2">
      <c r="F4141" s="312"/>
      <c r="M4141" s="312"/>
    </row>
    <row r="4142" spans="6:13" x14ac:dyDescent="0.2">
      <c r="F4142" s="312"/>
      <c r="M4142" s="312"/>
    </row>
    <row r="4143" spans="6:13" x14ac:dyDescent="0.2">
      <c r="F4143" s="312"/>
      <c r="M4143" s="312"/>
    </row>
    <row r="4144" spans="6:13" x14ac:dyDescent="0.2">
      <c r="F4144" s="312"/>
      <c r="M4144" s="312"/>
    </row>
    <row r="4145" spans="6:13" x14ac:dyDescent="0.2">
      <c r="F4145" s="312"/>
      <c r="M4145" s="312"/>
    </row>
    <row r="4146" spans="6:13" x14ac:dyDescent="0.2">
      <c r="F4146" s="312"/>
      <c r="M4146" s="312"/>
    </row>
    <row r="4147" spans="6:13" x14ac:dyDescent="0.2">
      <c r="F4147" s="312"/>
      <c r="M4147" s="312"/>
    </row>
    <row r="4148" spans="6:13" x14ac:dyDescent="0.2">
      <c r="F4148" s="312"/>
      <c r="M4148" s="312"/>
    </row>
    <row r="4149" spans="6:13" x14ac:dyDescent="0.2">
      <c r="F4149" s="312"/>
      <c r="M4149" s="312"/>
    </row>
    <row r="4150" spans="6:13" x14ac:dyDescent="0.2">
      <c r="F4150" s="312"/>
      <c r="M4150" s="312"/>
    </row>
    <row r="4151" spans="6:13" x14ac:dyDescent="0.2">
      <c r="F4151" s="312"/>
      <c r="M4151" s="312"/>
    </row>
    <row r="4152" spans="6:13" x14ac:dyDescent="0.2">
      <c r="F4152" s="312"/>
      <c r="M4152" s="312"/>
    </row>
    <row r="4153" spans="6:13" x14ac:dyDescent="0.2">
      <c r="F4153" s="312"/>
      <c r="M4153" s="312"/>
    </row>
    <row r="4154" spans="6:13" x14ac:dyDescent="0.2">
      <c r="F4154" s="312"/>
      <c r="M4154" s="312"/>
    </row>
    <row r="4155" spans="6:13" x14ac:dyDescent="0.2">
      <c r="F4155" s="312"/>
      <c r="M4155" s="312"/>
    </row>
    <row r="4156" spans="6:13" x14ac:dyDescent="0.2">
      <c r="F4156" s="312"/>
      <c r="M4156" s="312"/>
    </row>
    <row r="4157" spans="6:13" x14ac:dyDescent="0.2">
      <c r="F4157" s="312"/>
      <c r="M4157" s="312"/>
    </row>
    <row r="4158" spans="6:13" x14ac:dyDescent="0.2">
      <c r="F4158" s="312"/>
      <c r="M4158" s="312"/>
    </row>
    <row r="4159" spans="6:13" x14ac:dyDescent="0.2">
      <c r="F4159" s="312"/>
      <c r="M4159" s="312"/>
    </row>
    <row r="4160" spans="6:13" x14ac:dyDescent="0.2">
      <c r="F4160" s="312"/>
      <c r="M4160" s="312"/>
    </row>
    <row r="4161" spans="6:13" x14ac:dyDescent="0.2">
      <c r="F4161" s="312"/>
      <c r="M4161" s="312"/>
    </row>
    <row r="4162" spans="6:13" x14ac:dyDescent="0.2">
      <c r="F4162" s="312"/>
      <c r="M4162" s="312"/>
    </row>
    <row r="4163" spans="6:13" x14ac:dyDescent="0.2">
      <c r="F4163" s="312"/>
      <c r="M4163" s="312"/>
    </row>
    <row r="4164" spans="6:13" x14ac:dyDescent="0.2">
      <c r="F4164" s="312"/>
      <c r="M4164" s="312"/>
    </row>
    <row r="4165" spans="6:13" x14ac:dyDescent="0.2">
      <c r="F4165" s="312"/>
      <c r="M4165" s="312"/>
    </row>
    <row r="4166" spans="6:13" x14ac:dyDescent="0.2">
      <c r="F4166" s="312"/>
      <c r="M4166" s="312"/>
    </row>
    <row r="4167" spans="6:13" x14ac:dyDescent="0.2">
      <c r="F4167" s="312"/>
      <c r="M4167" s="312"/>
    </row>
    <row r="4168" spans="6:13" x14ac:dyDescent="0.2">
      <c r="F4168" s="312"/>
      <c r="M4168" s="312"/>
    </row>
    <row r="4169" spans="6:13" x14ac:dyDescent="0.2">
      <c r="F4169" s="312"/>
      <c r="M4169" s="312"/>
    </row>
    <row r="4170" spans="6:13" x14ac:dyDescent="0.2">
      <c r="F4170" s="312"/>
      <c r="M4170" s="312"/>
    </row>
    <row r="4171" spans="6:13" x14ac:dyDescent="0.2">
      <c r="F4171" s="312"/>
      <c r="M4171" s="312"/>
    </row>
    <row r="4172" spans="6:13" x14ac:dyDescent="0.2">
      <c r="F4172" s="312"/>
      <c r="M4172" s="312"/>
    </row>
    <row r="4173" spans="6:13" x14ac:dyDescent="0.2">
      <c r="F4173" s="312"/>
      <c r="M4173" s="312"/>
    </row>
    <row r="4174" spans="6:13" x14ac:dyDescent="0.2">
      <c r="F4174" s="312"/>
      <c r="M4174" s="312"/>
    </row>
    <row r="4175" spans="6:13" x14ac:dyDescent="0.2">
      <c r="F4175" s="312"/>
      <c r="M4175" s="312"/>
    </row>
    <row r="4176" spans="6:13" x14ac:dyDescent="0.2">
      <c r="F4176" s="312"/>
      <c r="M4176" s="312"/>
    </row>
    <row r="4177" spans="6:13" x14ac:dyDescent="0.2">
      <c r="F4177" s="312"/>
      <c r="M4177" s="312"/>
    </row>
    <row r="4178" spans="6:13" x14ac:dyDescent="0.2">
      <c r="F4178" s="312"/>
      <c r="M4178" s="312"/>
    </row>
    <row r="4179" spans="6:13" x14ac:dyDescent="0.2">
      <c r="F4179" s="312"/>
      <c r="M4179" s="312"/>
    </row>
    <row r="4180" spans="6:13" x14ac:dyDescent="0.2">
      <c r="F4180" s="312"/>
      <c r="M4180" s="312"/>
    </row>
    <row r="4181" spans="6:13" x14ac:dyDescent="0.2">
      <c r="F4181" s="312"/>
      <c r="M4181" s="312"/>
    </row>
    <row r="4182" spans="6:13" x14ac:dyDescent="0.2">
      <c r="F4182" s="312"/>
      <c r="M4182" s="312"/>
    </row>
    <row r="4183" spans="6:13" x14ac:dyDescent="0.2">
      <c r="F4183" s="312"/>
      <c r="M4183" s="312"/>
    </row>
    <row r="4184" spans="6:13" x14ac:dyDescent="0.2">
      <c r="F4184" s="312"/>
      <c r="M4184" s="312"/>
    </row>
    <row r="4185" spans="6:13" x14ac:dyDescent="0.2">
      <c r="F4185" s="312"/>
      <c r="M4185" s="312"/>
    </row>
    <row r="4186" spans="6:13" x14ac:dyDescent="0.2">
      <c r="F4186" s="312"/>
      <c r="M4186" s="312"/>
    </row>
    <row r="4187" spans="6:13" x14ac:dyDescent="0.2">
      <c r="F4187" s="312"/>
      <c r="M4187" s="312"/>
    </row>
    <row r="4188" spans="6:13" x14ac:dyDescent="0.2">
      <c r="F4188" s="312"/>
      <c r="M4188" s="312"/>
    </row>
    <row r="4189" spans="6:13" x14ac:dyDescent="0.2">
      <c r="F4189" s="312"/>
      <c r="M4189" s="312"/>
    </row>
    <row r="4190" spans="6:13" x14ac:dyDescent="0.2">
      <c r="F4190" s="312"/>
      <c r="M4190" s="312"/>
    </row>
    <row r="4191" spans="6:13" x14ac:dyDescent="0.2">
      <c r="F4191" s="312"/>
      <c r="M4191" s="312"/>
    </row>
    <row r="4192" spans="6:13" x14ac:dyDescent="0.2">
      <c r="F4192" s="312"/>
      <c r="M4192" s="312"/>
    </row>
    <row r="4193" spans="6:13" x14ac:dyDescent="0.2">
      <c r="F4193" s="312"/>
      <c r="M4193" s="312"/>
    </row>
    <row r="4194" spans="6:13" x14ac:dyDescent="0.2">
      <c r="F4194" s="312"/>
      <c r="M4194" s="312"/>
    </row>
    <row r="4195" spans="6:13" x14ac:dyDescent="0.2">
      <c r="F4195" s="312"/>
      <c r="M4195" s="312"/>
    </row>
    <row r="4196" spans="6:13" x14ac:dyDescent="0.2">
      <c r="F4196" s="312"/>
      <c r="M4196" s="312"/>
    </row>
    <row r="4197" spans="6:13" x14ac:dyDescent="0.2">
      <c r="F4197" s="312"/>
      <c r="M4197" s="312"/>
    </row>
    <row r="4198" spans="6:13" x14ac:dyDescent="0.2">
      <c r="F4198" s="312"/>
      <c r="M4198" s="312"/>
    </row>
    <row r="4199" spans="6:13" x14ac:dyDescent="0.2">
      <c r="F4199" s="312"/>
      <c r="M4199" s="312"/>
    </row>
    <row r="4200" spans="6:13" x14ac:dyDescent="0.2">
      <c r="F4200" s="312"/>
      <c r="M4200" s="312"/>
    </row>
    <row r="4201" spans="6:13" x14ac:dyDescent="0.2">
      <c r="F4201" s="312"/>
      <c r="M4201" s="312"/>
    </row>
    <row r="4202" spans="6:13" x14ac:dyDescent="0.2">
      <c r="F4202" s="312"/>
      <c r="M4202" s="312"/>
    </row>
    <row r="4203" spans="6:13" x14ac:dyDescent="0.2">
      <c r="F4203" s="312"/>
      <c r="M4203" s="312"/>
    </row>
    <row r="4204" spans="6:13" x14ac:dyDescent="0.2">
      <c r="F4204" s="312"/>
      <c r="M4204" s="312"/>
    </row>
    <row r="4205" spans="6:13" x14ac:dyDescent="0.2">
      <c r="F4205" s="312"/>
      <c r="M4205" s="312"/>
    </row>
    <row r="4206" spans="6:13" x14ac:dyDescent="0.2">
      <c r="F4206" s="312"/>
      <c r="M4206" s="312"/>
    </row>
    <row r="4207" spans="6:13" x14ac:dyDescent="0.2">
      <c r="F4207" s="312"/>
      <c r="M4207" s="312"/>
    </row>
    <row r="4208" spans="6:13" x14ac:dyDescent="0.2">
      <c r="F4208" s="312"/>
      <c r="M4208" s="312"/>
    </row>
    <row r="4209" spans="6:13" x14ac:dyDescent="0.2">
      <c r="F4209" s="312"/>
      <c r="M4209" s="312"/>
    </row>
    <row r="4210" spans="6:13" x14ac:dyDescent="0.2">
      <c r="F4210" s="312"/>
      <c r="M4210" s="312"/>
    </row>
    <row r="4211" spans="6:13" x14ac:dyDescent="0.2">
      <c r="F4211" s="312"/>
      <c r="M4211" s="312"/>
    </row>
    <row r="4212" spans="6:13" x14ac:dyDescent="0.2">
      <c r="F4212" s="312"/>
      <c r="M4212" s="312"/>
    </row>
    <row r="4213" spans="6:13" x14ac:dyDescent="0.2">
      <c r="F4213" s="312"/>
      <c r="M4213" s="312"/>
    </row>
    <row r="4214" spans="6:13" x14ac:dyDescent="0.2">
      <c r="F4214" s="312"/>
      <c r="M4214" s="312"/>
    </row>
    <row r="4215" spans="6:13" x14ac:dyDescent="0.2">
      <c r="F4215" s="312"/>
      <c r="M4215" s="312"/>
    </row>
    <row r="4216" spans="6:13" x14ac:dyDescent="0.2">
      <c r="F4216" s="312"/>
      <c r="M4216" s="312"/>
    </row>
    <row r="4217" spans="6:13" x14ac:dyDescent="0.2">
      <c r="F4217" s="312"/>
      <c r="M4217" s="312"/>
    </row>
    <row r="4218" spans="6:13" x14ac:dyDescent="0.2">
      <c r="F4218" s="312"/>
      <c r="M4218" s="312"/>
    </row>
    <row r="4219" spans="6:13" x14ac:dyDescent="0.2">
      <c r="F4219" s="312"/>
      <c r="M4219" s="312"/>
    </row>
    <row r="4220" spans="6:13" x14ac:dyDescent="0.2">
      <c r="F4220" s="312"/>
      <c r="M4220" s="312"/>
    </row>
    <row r="4221" spans="6:13" x14ac:dyDescent="0.2">
      <c r="F4221" s="312"/>
      <c r="M4221" s="312"/>
    </row>
    <row r="4222" spans="6:13" x14ac:dyDescent="0.2">
      <c r="F4222" s="312"/>
      <c r="M4222" s="312"/>
    </row>
    <row r="4223" spans="6:13" x14ac:dyDescent="0.2">
      <c r="F4223" s="312"/>
      <c r="M4223" s="312"/>
    </row>
    <row r="4224" spans="6:13" x14ac:dyDescent="0.2">
      <c r="F4224" s="312"/>
      <c r="M4224" s="312"/>
    </row>
    <row r="4225" spans="6:13" x14ac:dyDescent="0.2">
      <c r="F4225" s="312"/>
      <c r="M4225" s="312"/>
    </row>
    <row r="4226" spans="6:13" x14ac:dyDescent="0.2">
      <c r="F4226" s="312"/>
      <c r="M4226" s="312"/>
    </row>
    <row r="4227" spans="6:13" x14ac:dyDescent="0.2">
      <c r="F4227" s="312"/>
      <c r="M4227" s="312"/>
    </row>
    <row r="4228" spans="6:13" x14ac:dyDescent="0.2">
      <c r="F4228" s="312"/>
      <c r="M4228" s="312"/>
    </row>
    <row r="4229" spans="6:13" x14ac:dyDescent="0.2">
      <c r="F4229" s="312"/>
      <c r="M4229" s="312"/>
    </row>
    <row r="4230" spans="6:13" x14ac:dyDescent="0.2">
      <c r="F4230" s="312"/>
      <c r="M4230" s="312"/>
    </row>
    <row r="4231" spans="6:13" x14ac:dyDescent="0.2">
      <c r="F4231" s="312"/>
      <c r="M4231" s="312"/>
    </row>
    <row r="4232" spans="6:13" x14ac:dyDescent="0.2">
      <c r="F4232" s="312"/>
      <c r="M4232" s="312"/>
    </row>
    <row r="4233" spans="6:13" x14ac:dyDescent="0.2">
      <c r="F4233" s="312"/>
      <c r="M4233" s="312"/>
    </row>
    <row r="4234" spans="6:13" x14ac:dyDescent="0.2">
      <c r="F4234" s="312"/>
      <c r="M4234" s="312"/>
    </row>
    <row r="4235" spans="6:13" x14ac:dyDescent="0.2">
      <c r="F4235" s="312"/>
      <c r="M4235" s="312"/>
    </row>
    <row r="4236" spans="6:13" x14ac:dyDescent="0.2">
      <c r="F4236" s="312"/>
      <c r="M4236" s="312"/>
    </row>
    <row r="4237" spans="6:13" x14ac:dyDescent="0.2">
      <c r="F4237" s="312"/>
      <c r="M4237" s="312"/>
    </row>
    <row r="4238" spans="6:13" x14ac:dyDescent="0.2">
      <c r="F4238" s="312"/>
      <c r="M4238" s="312"/>
    </row>
    <row r="4239" spans="6:13" x14ac:dyDescent="0.2">
      <c r="F4239" s="312"/>
      <c r="M4239" s="312"/>
    </row>
    <row r="4240" spans="6:13" x14ac:dyDescent="0.2">
      <c r="F4240" s="312"/>
      <c r="M4240" s="312"/>
    </row>
    <row r="4241" spans="6:13" x14ac:dyDescent="0.2">
      <c r="F4241" s="312"/>
      <c r="M4241" s="312"/>
    </row>
    <row r="4242" spans="6:13" x14ac:dyDescent="0.2">
      <c r="F4242" s="312"/>
      <c r="M4242" s="312"/>
    </row>
    <row r="4243" spans="6:13" x14ac:dyDescent="0.2">
      <c r="F4243" s="312"/>
      <c r="M4243" s="312"/>
    </row>
    <row r="4244" spans="6:13" x14ac:dyDescent="0.2">
      <c r="F4244" s="312"/>
      <c r="M4244" s="312"/>
    </row>
    <row r="4245" spans="6:13" x14ac:dyDescent="0.2">
      <c r="F4245" s="312"/>
      <c r="M4245" s="312"/>
    </row>
    <row r="4246" spans="6:13" x14ac:dyDescent="0.2">
      <c r="F4246" s="312"/>
      <c r="M4246" s="312"/>
    </row>
    <row r="4247" spans="6:13" x14ac:dyDescent="0.2">
      <c r="F4247" s="312"/>
      <c r="M4247" s="312"/>
    </row>
    <row r="4248" spans="6:13" x14ac:dyDescent="0.2">
      <c r="F4248" s="312"/>
      <c r="M4248" s="312"/>
    </row>
    <row r="4249" spans="6:13" x14ac:dyDescent="0.2">
      <c r="F4249" s="312"/>
      <c r="M4249" s="312"/>
    </row>
    <row r="4250" spans="6:13" x14ac:dyDescent="0.2">
      <c r="F4250" s="312"/>
      <c r="M4250" s="312"/>
    </row>
    <row r="4251" spans="6:13" x14ac:dyDescent="0.2">
      <c r="F4251" s="312"/>
      <c r="M4251" s="312"/>
    </row>
    <row r="4252" spans="6:13" x14ac:dyDescent="0.2">
      <c r="F4252" s="312"/>
      <c r="M4252" s="312"/>
    </row>
    <row r="4253" spans="6:13" x14ac:dyDescent="0.2">
      <c r="F4253" s="312"/>
      <c r="M4253" s="312"/>
    </row>
    <row r="4254" spans="6:13" x14ac:dyDescent="0.2">
      <c r="F4254" s="312"/>
      <c r="M4254" s="312"/>
    </row>
    <row r="4255" spans="6:13" x14ac:dyDescent="0.2">
      <c r="F4255" s="312"/>
      <c r="M4255" s="312"/>
    </row>
    <row r="4256" spans="6:13" x14ac:dyDescent="0.2">
      <c r="F4256" s="312"/>
      <c r="M4256" s="312"/>
    </row>
    <row r="4257" spans="6:13" x14ac:dyDescent="0.2">
      <c r="F4257" s="312"/>
      <c r="M4257" s="312"/>
    </row>
    <row r="4258" spans="6:13" x14ac:dyDescent="0.2">
      <c r="F4258" s="312"/>
      <c r="M4258" s="312"/>
    </row>
    <row r="4259" spans="6:13" x14ac:dyDescent="0.2">
      <c r="F4259" s="312"/>
      <c r="M4259" s="312"/>
    </row>
    <row r="4260" spans="6:13" x14ac:dyDescent="0.2">
      <c r="F4260" s="312"/>
      <c r="M4260" s="312"/>
    </row>
    <row r="4261" spans="6:13" x14ac:dyDescent="0.2">
      <c r="F4261" s="312"/>
      <c r="M4261" s="312"/>
    </row>
    <row r="4262" spans="6:13" x14ac:dyDescent="0.2">
      <c r="F4262" s="312"/>
      <c r="M4262" s="312"/>
    </row>
    <row r="4263" spans="6:13" x14ac:dyDescent="0.2">
      <c r="F4263" s="312"/>
      <c r="M4263" s="312"/>
    </row>
    <row r="4264" spans="6:13" x14ac:dyDescent="0.2">
      <c r="F4264" s="312"/>
      <c r="M4264" s="312"/>
    </row>
    <row r="4265" spans="6:13" x14ac:dyDescent="0.2">
      <c r="F4265" s="312"/>
      <c r="M4265" s="312"/>
    </row>
    <row r="4266" spans="6:13" x14ac:dyDescent="0.2">
      <c r="F4266" s="312"/>
      <c r="M4266" s="312"/>
    </row>
    <row r="4267" spans="6:13" x14ac:dyDescent="0.2">
      <c r="F4267" s="312"/>
      <c r="M4267" s="312"/>
    </row>
    <row r="4268" spans="6:13" x14ac:dyDescent="0.2">
      <c r="F4268" s="312"/>
      <c r="M4268" s="312"/>
    </row>
    <row r="4269" spans="6:13" x14ac:dyDescent="0.2">
      <c r="F4269" s="312"/>
      <c r="M4269" s="312"/>
    </row>
    <row r="4270" spans="6:13" x14ac:dyDescent="0.2">
      <c r="F4270" s="312"/>
      <c r="M4270" s="312"/>
    </row>
    <row r="4271" spans="6:13" x14ac:dyDescent="0.2">
      <c r="F4271" s="312"/>
      <c r="M4271" s="312"/>
    </row>
    <row r="4272" spans="6:13" x14ac:dyDescent="0.2">
      <c r="F4272" s="312"/>
      <c r="M4272" s="312"/>
    </row>
    <row r="4273" spans="6:13" x14ac:dyDescent="0.2">
      <c r="F4273" s="312"/>
      <c r="M4273" s="312"/>
    </row>
    <row r="4274" spans="6:13" x14ac:dyDescent="0.2">
      <c r="F4274" s="312"/>
      <c r="M4274" s="312"/>
    </row>
    <row r="4275" spans="6:13" x14ac:dyDescent="0.2">
      <c r="F4275" s="312"/>
      <c r="M4275" s="312"/>
    </row>
    <row r="4276" spans="6:13" x14ac:dyDescent="0.2">
      <c r="F4276" s="312"/>
      <c r="M4276" s="312"/>
    </row>
    <row r="4277" spans="6:13" x14ac:dyDescent="0.2">
      <c r="F4277" s="312"/>
      <c r="M4277" s="312"/>
    </row>
    <row r="4278" spans="6:13" x14ac:dyDescent="0.2">
      <c r="F4278" s="312"/>
      <c r="M4278" s="312"/>
    </row>
    <row r="4279" spans="6:13" x14ac:dyDescent="0.2">
      <c r="F4279" s="312"/>
      <c r="M4279" s="312"/>
    </row>
    <row r="4280" spans="6:13" x14ac:dyDescent="0.2">
      <c r="F4280" s="312"/>
      <c r="M4280" s="312"/>
    </row>
    <row r="4281" spans="6:13" x14ac:dyDescent="0.2">
      <c r="F4281" s="312"/>
      <c r="M4281" s="312"/>
    </row>
    <row r="4282" spans="6:13" x14ac:dyDescent="0.2">
      <c r="F4282" s="312"/>
      <c r="M4282" s="312"/>
    </row>
    <row r="4283" spans="6:13" x14ac:dyDescent="0.2">
      <c r="F4283" s="312"/>
      <c r="M4283" s="312"/>
    </row>
    <row r="4284" spans="6:13" x14ac:dyDescent="0.2">
      <c r="F4284" s="312"/>
      <c r="M4284" s="312"/>
    </row>
    <row r="4285" spans="6:13" x14ac:dyDescent="0.2">
      <c r="F4285" s="312"/>
      <c r="M4285" s="312"/>
    </row>
    <row r="4286" spans="6:13" x14ac:dyDescent="0.2">
      <c r="F4286" s="312"/>
      <c r="M4286" s="312"/>
    </row>
    <row r="4287" spans="6:13" x14ac:dyDescent="0.2">
      <c r="F4287" s="312"/>
      <c r="M4287" s="312"/>
    </row>
    <row r="4288" spans="6:13" x14ac:dyDescent="0.2">
      <c r="F4288" s="312"/>
      <c r="M4288" s="312"/>
    </row>
    <row r="4289" spans="6:13" x14ac:dyDescent="0.2">
      <c r="F4289" s="312"/>
      <c r="M4289" s="312"/>
    </row>
    <row r="4290" spans="6:13" x14ac:dyDescent="0.2">
      <c r="F4290" s="312"/>
      <c r="M4290" s="312"/>
    </row>
    <row r="4291" spans="6:13" x14ac:dyDescent="0.2">
      <c r="F4291" s="312"/>
      <c r="M4291" s="312"/>
    </row>
    <row r="4292" spans="6:13" x14ac:dyDescent="0.2">
      <c r="F4292" s="312"/>
      <c r="M4292" s="312"/>
    </row>
    <row r="4293" spans="6:13" x14ac:dyDescent="0.2">
      <c r="F4293" s="312"/>
      <c r="M4293" s="312"/>
    </row>
    <row r="4294" spans="6:13" x14ac:dyDescent="0.2">
      <c r="F4294" s="312"/>
      <c r="M4294" s="312"/>
    </row>
    <row r="4295" spans="6:13" x14ac:dyDescent="0.2">
      <c r="F4295" s="312"/>
      <c r="M4295" s="312"/>
    </row>
    <row r="4296" spans="6:13" x14ac:dyDescent="0.2">
      <c r="F4296" s="312"/>
      <c r="M4296" s="312"/>
    </row>
    <row r="4297" spans="6:13" x14ac:dyDescent="0.2">
      <c r="F4297" s="312"/>
      <c r="M4297" s="312"/>
    </row>
    <row r="4298" spans="6:13" x14ac:dyDescent="0.2">
      <c r="F4298" s="312"/>
      <c r="M4298" s="312"/>
    </row>
    <row r="4299" spans="6:13" x14ac:dyDescent="0.2">
      <c r="F4299" s="312"/>
      <c r="M4299" s="312"/>
    </row>
    <row r="4300" spans="6:13" x14ac:dyDescent="0.2">
      <c r="F4300" s="312"/>
      <c r="M4300" s="312"/>
    </row>
    <row r="4301" spans="6:13" x14ac:dyDescent="0.2">
      <c r="F4301" s="312"/>
      <c r="M4301" s="312"/>
    </row>
    <row r="4310" spans="6:13" x14ac:dyDescent="0.2">
      <c r="F4310" s="312"/>
      <c r="M4310" s="312"/>
    </row>
    <row r="4311" spans="6:13" x14ac:dyDescent="0.2">
      <c r="F4311" s="312"/>
      <c r="M4311" s="312"/>
    </row>
    <row r="4312" spans="6:13" x14ac:dyDescent="0.2">
      <c r="F4312" s="312"/>
      <c r="M4312" s="312"/>
    </row>
    <row r="4313" spans="6:13" x14ac:dyDescent="0.2">
      <c r="F4313" s="312"/>
      <c r="M4313" s="312"/>
    </row>
    <row r="4314" spans="6:13" x14ac:dyDescent="0.2">
      <c r="F4314" s="312"/>
      <c r="M4314" s="312"/>
    </row>
    <row r="4315" spans="6:13" x14ac:dyDescent="0.2">
      <c r="F4315" s="312"/>
      <c r="M4315" s="312"/>
    </row>
    <row r="4316" spans="6:13" x14ac:dyDescent="0.2">
      <c r="F4316" s="312"/>
      <c r="M4316" s="312"/>
    </row>
    <row r="4317" spans="6:13" x14ac:dyDescent="0.2">
      <c r="F4317" s="312"/>
      <c r="M4317" s="312"/>
    </row>
    <row r="4318" spans="6:13" x14ac:dyDescent="0.2">
      <c r="F4318" s="312"/>
      <c r="M4318" s="312"/>
    </row>
    <row r="4319" spans="6:13" x14ac:dyDescent="0.2">
      <c r="F4319" s="312"/>
      <c r="M4319" s="312"/>
    </row>
    <row r="4320" spans="6:13" x14ac:dyDescent="0.2">
      <c r="F4320" s="312"/>
      <c r="M4320" s="312"/>
    </row>
    <row r="4321" spans="6:13" x14ac:dyDescent="0.2">
      <c r="F4321" s="312"/>
      <c r="M4321" s="312"/>
    </row>
    <row r="4322" spans="6:13" x14ac:dyDescent="0.2">
      <c r="F4322" s="312"/>
      <c r="M4322" s="312"/>
    </row>
    <row r="4323" spans="6:13" x14ac:dyDescent="0.2">
      <c r="F4323" s="312"/>
      <c r="M4323" s="312"/>
    </row>
    <row r="4324" spans="6:13" x14ac:dyDescent="0.2">
      <c r="F4324" s="312"/>
      <c r="M4324" s="312"/>
    </row>
    <row r="4325" spans="6:13" x14ac:dyDescent="0.2">
      <c r="F4325" s="312"/>
      <c r="M4325" s="312"/>
    </row>
    <row r="4326" spans="6:13" x14ac:dyDescent="0.2">
      <c r="F4326" s="312"/>
      <c r="M4326" s="312"/>
    </row>
    <row r="4327" spans="6:13" x14ac:dyDescent="0.2">
      <c r="F4327" s="312"/>
      <c r="M4327" s="312"/>
    </row>
    <row r="4328" spans="6:13" x14ac:dyDescent="0.2">
      <c r="F4328" s="312"/>
      <c r="M4328" s="312"/>
    </row>
    <row r="4329" spans="6:13" x14ac:dyDescent="0.2">
      <c r="F4329" s="312"/>
      <c r="M4329" s="312"/>
    </row>
    <row r="4330" spans="6:13" x14ac:dyDescent="0.2">
      <c r="F4330" s="312"/>
      <c r="M4330" s="312"/>
    </row>
    <row r="4331" spans="6:13" x14ac:dyDescent="0.2">
      <c r="F4331" s="312"/>
      <c r="M4331" s="312"/>
    </row>
    <row r="4332" spans="6:13" x14ac:dyDescent="0.2">
      <c r="F4332" s="312"/>
      <c r="M4332" s="312"/>
    </row>
    <row r="4333" spans="6:13" x14ac:dyDescent="0.2">
      <c r="F4333" s="312"/>
      <c r="M4333" s="312"/>
    </row>
    <row r="4334" spans="6:13" x14ac:dyDescent="0.2">
      <c r="F4334" s="312"/>
      <c r="M4334" s="312"/>
    </row>
    <row r="4335" spans="6:13" x14ac:dyDescent="0.2">
      <c r="F4335" s="312"/>
      <c r="M4335" s="312"/>
    </row>
    <row r="4336" spans="6:13" x14ac:dyDescent="0.2">
      <c r="M4336" s="312"/>
    </row>
    <row r="4337" spans="6:13" x14ac:dyDescent="0.2">
      <c r="M4337" s="312"/>
    </row>
    <row r="4338" spans="6:13" x14ac:dyDescent="0.2">
      <c r="F4338" s="312"/>
    </row>
    <row r="4339" spans="6:13" x14ac:dyDescent="0.2">
      <c r="F4339" s="312"/>
    </row>
    <row r="4340" spans="6:13" x14ac:dyDescent="0.2">
      <c r="F4340" s="312"/>
    </row>
    <row r="4341" spans="6:13" x14ac:dyDescent="0.2">
      <c r="F4341" s="312"/>
      <c r="M4341" s="312"/>
    </row>
    <row r="4342" spans="6:13" x14ac:dyDescent="0.2">
      <c r="F4342" s="312"/>
    </row>
    <row r="4343" spans="6:13" x14ac:dyDescent="0.2">
      <c r="F4343" s="312"/>
      <c r="M4343" s="312"/>
    </row>
    <row r="4344" spans="6:13" x14ac:dyDescent="0.2">
      <c r="F4344" s="312"/>
    </row>
    <row r="4345" spans="6:13" x14ac:dyDescent="0.2">
      <c r="F4345" s="312"/>
    </row>
    <row r="4346" spans="6:13" x14ac:dyDescent="0.2">
      <c r="F4346" s="312"/>
    </row>
    <row r="4347" spans="6:13" x14ac:dyDescent="0.2">
      <c r="F4347" s="312"/>
    </row>
    <row r="4348" spans="6:13" x14ac:dyDescent="0.2">
      <c r="F4348" s="312"/>
    </row>
    <row r="4349" spans="6:13" x14ac:dyDescent="0.2">
      <c r="F4349" s="312"/>
    </row>
    <row r="4350" spans="6:13" x14ac:dyDescent="0.2">
      <c r="F4350" s="312"/>
    </row>
    <row r="4351" spans="6:13" x14ac:dyDescent="0.2">
      <c r="F4351" s="312"/>
    </row>
    <row r="4352" spans="6:13" x14ac:dyDescent="0.2">
      <c r="F4352" s="312"/>
      <c r="M4352" s="312"/>
    </row>
    <row r="4353" spans="6:13" x14ac:dyDescent="0.2">
      <c r="F4353" s="312"/>
      <c r="M4353" s="312"/>
    </row>
    <row r="4354" spans="6:13" x14ac:dyDescent="0.2">
      <c r="F4354" s="312"/>
      <c r="M4354" s="312"/>
    </row>
    <row r="4355" spans="6:13" x14ac:dyDescent="0.2">
      <c r="F4355" s="312"/>
      <c r="M4355" s="312"/>
    </row>
    <row r="4356" spans="6:13" x14ac:dyDescent="0.2">
      <c r="F4356" s="312"/>
      <c r="M4356" s="312"/>
    </row>
    <row r="4357" spans="6:13" x14ac:dyDescent="0.2">
      <c r="F4357" s="312"/>
      <c r="M4357" s="312"/>
    </row>
    <row r="4358" spans="6:13" x14ac:dyDescent="0.2">
      <c r="F4358" s="312"/>
      <c r="M4358" s="312"/>
    </row>
    <row r="4359" spans="6:13" x14ac:dyDescent="0.2">
      <c r="F4359" s="312"/>
      <c r="M4359" s="312"/>
    </row>
    <row r="4360" spans="6:13" x14ac:dyDescent="0.2">
      <c r="F4360" s="312"/>
      <c r="M4360" s="312"/>
    </row>
    <row r="4361" spans="6:13" x14ac:dyDescent="0.2">
      <c r="F4361" s="312"/>
      <c r="M4361" s="312"/>
    </row>
    <row r="4362" spans="6:13" x14ac:dyDescent="0.2">
      <c r="F4362" s="312"/>
      <c r="M4362" s="312"/>
    </row>
    <row r="4363" spans="6:13" x14ac:dyDescent="0.2">
      <c r="F4363" s="312"/>
      <c r="M4363" s="312"/>
    </row>
    <row r="4364" spans="6:13" x14ac:dyDescent="0.2">
      <c r="F4364" s="312"/>
      <c r="M4364" s="312"/>
    </row>
    <row r="4365" spans="6:13" x14ac:dyDescent="0.2">
      <c r="F4365" s="312"/>
      <c r="M4365" s="312"/>
    </row>
    <row r="4366" spans="6:13" x14ac:dyDescent="0.2">
      <c r="F4366" s="312"/>
      <c r="M4366" s="312"/>
    </row>
    <row r="4367" spans="6:13" x14ac:dyDescent="0.2">
      <c r="F4367" s="312"/>
    </row>
    <row r="4368" spans="6:13" x14ac:dyDescent="0.2">
      <c r="F4368" s="312"/>
    </row>
    <row r="4369" spans="6:13" x14ac:dyDescent="0.2">
      <c r="F4369" s="312"/>
    </row>
    <row r="4375" spans="6:13" x14ac:dyDescent="0.2">
      <c r="F4375" s="312"/>
      <c r="M4375" s="312"/>
    </row>
    <row r="4376" spans="6:13" x14ac:dyDescent="0.2">
      <c r="F4376" s="312"/>
      <c r="M4376" s="312"/>
    </row>
    <row r="4377" spans="6:13" x14ac:dyDescent="0.2">
      <c r="F4377" s="312"/>
      <c r="M4377" s="312"/>
    </row>
    <row r="4378" spans="6:13" x14ac:dyDescent="0.2">
      <c r="F4378" s="312"/>
      <c r="M4378" s="312"/>
    </row>
    <row r="4379" spans="6:13" x14ac:dyDescent="0.2">
      <c r="F4379" s="312"/>
      <c r="M4379" s="312"/>
    </row>
    <row r="4380" spans="6:13" x14ac:dyDescent="0.2">
      <c r="F4380" s="312"/>
      <c r="M4380" s="312"/>
    </row>
    <row r="4381" spans="6:13" x14ac:dyDescent="0.2">
      <c r="F4381" s="312"/>
      <c r="M4381" s="312"/>
    </row>
    <row r="4382" spans="6:13" x14ac:dyDescent="0.2">
      <c r="F4382" s="312"/>
      <c r="M4382" s="312"/>
    </row>
    <row r="4383" spans="6:13" x14ac:dyDescent="0.2">
      <c r="F4383" s="312"/>
      <c r="M4383" s="312"/>
    </row>
    <row r="4384" spans="6:13" x14ac:dyDescent="0.2">
      <c r="F4384" s="312"/>
      <c r="M4384" s="312"/>
    </row>
    <row r="4385" spans="6:13" x14ac:dyDescent="0.2">
      <c r="F4385" s="312"/>
      <c r="M4385" s="312"/>
    </row>
    <row r="4386" spans="6:13" x14ac:dyDescent="0.2">
      <c r="F4386" s="312"/>
      <c r="M4386" s="312"/>
    </row>
    <row r="4387" spans="6:13" x14ac:dyDescent="0.2">
      <c r="F4387" s="312"/>
      <c r="M4387" s="312"/>
    </row>
    <row r="4388" spans="6:13" x14ac:dyDescent="0.2">
      <c r="F4388" s="312"/>
      <c r="M4388" s="312"/>
    </row>
    <row r="4389" spans="6:13" x14ac:dyDescent="0.2">
      <c r="F4389" s="312"/>
      <c r="M4389" s="312"/>
    </row>
    <row r="4390" spans="6:13" x14ac:dyDescent="0.2">
      <c r="F4390" s="312"/>
    </row>
    <row r="4391" spans="6:13" x14ac:dyDescent="0.2">
      <c r="F4391" s="312"/>
    </row>
    <row r="4392" spans="6:13" x14ac:dyDescent="0.2">
      <c r="F4392" s="312"/>
    </row>
    <row r="4393" spans="6:13" x14ac:dyDescent="0.2">
      <c r="F4393" s="312"/>
    </row>
    <row r="4394" spans="6:13" x14ac:dyDescent="0.2">
      <c r="F4394" s="312"/>
    </row>
    <row r="4398" spans="6:13" x14ac:dyDescent="0.2">
      <c r="F4398" s="312"/>
      <c r="M4398" s="312"/>
    </row>
    <row r="4399" spans="6:13" x14ac:dyDescent="0.2">
      <c r="F4399" s="312"/>
      <c r="M4399" s="312"/>
    </row>
    <row r="4400" spans="6:13" x14ac:dyDescent="0.2">
      <c r="F4400" s="312"/>
      <c r="M4400" s="312"/>
    </row>
    <row r="4401" spans="6:13" x14ac:dyDescent="0.2">
      <c r="F4401" s="312"/>
      <c r="M4401" s="312"/>
    </row>
    <row r="4402" spans="6:13" x14ac:dyDescent="0.2">
      <c r="F4402" s="312"/>
      <c r="M4402" s="312"/>
    </row>
    <row r="4403" spans="6:13" x14ac:dyDescent="0.2">
      <c r="F4403" s="312"/>
      <c r="M4403" s="312"/>
    </row>
    <row r="4404" spans="6:13" x14ac:dyDescent="0.2">
      <c r="F4404" s="312"/>
      <c r="M4404" s="312"/>
    </row>
    <row r="4405" spans="6:13" x14ac:dyDescent="0.2">
      <c r="F4405" s="312"/>
      <c r="M4405" s="312"/>
    </row>
    <row r="4406" spans="6:13" x14ac:dyDescent="0.2">
      <c r="F4406" s="312"/>
      <c r="M4406" s="312"/>
    </row>
    <row r="4407" spans="6:13" x14ac:dyDescent="0.2">
      <c r="F4407" s="312"/>
      <c r="M4407" s="312"/>
    </row>
    <row r="4408" spans="6:13" x14ac:dyDescent="0.2">
      <c r="F4408" s="312"/>
      <c r="M4408" s="312"/>
    </row>
    <row r="4409" spans="6:13" x14ac:dyDescent="0.2">
      <c r="F4409" s="312"/>
      <c r="M4409" s="312"/>
    </row>
    <row r="4410" spans="6:13" x14ac:dyDescent="0.2">
      <c r="F4410" s="312"/>
      <c r="M4410" s="312"/>
    </row>
    <row r="4411" spans="6:13" x14ac:dyDescent="0.2">
      <c r="F4411" s="312"/>
      <c r="M4411" s="312"/>
    </row>
    <row r="4412" spans="6:13" x14ac:dyDescent="0.2">
      <c r="F4412" s="312"/>
      <c r="M4412" s="312"/>
    </row>
    <row r="4421" spans="6:13" x14ac:dyDescent="0.2">
      <c r="F4421" s="312"/>
      <c r="M4421" s="312"/>
    </row>
    <row r="4422" spans="6:13" x14ac:dyDescent="0.2">
      <c r="F4422" s="312"/>
      <c r="M4422" s="312"/>
    </row>
    <row r="4423" spans="6:13" x14ac:dyDescent="0.2">
      <c r="F4423" s="312"/>
      <c r="M4423" s="312"/>
    </row>
    <row r="4424" spans="6:13" x14ac:dyDescent="0.2">
      <c r="F4424" s="312"/>
      <c r="M4424" s="312"/>
    </row>
    <row r="4425" spans="6:13" x14ac:dyDescent="0.2">
      <c r="F4425" s="312"/>
      <c r="M4425" s="312"/>
    </row>
    <row r="4426" spans="6:13" x14ac:dyDescent="0.2">
      <c r="F4426" s="312"/>
      <c r="M4426" s="312"/>
    </row>
    <row r="4427" spans="6:13" x14ac:dyDescent="0.2">
      <c r="F4427" s="312"/>
      <c r="M4427" s="312"/>
    </row>
    <row r="4428" spans="6:13" x14ac:dyDescent="0.2">
      <c r="F4428" s="312"/>
      <c r="M4428" s="312"/>
    </row>
    <row r="4429" spans="6:13" x14ac:dyDescent="0.2">
      <c r="F4429" s="312"/>
      <c r="M4429" s="312"/>
    </row>
    <row r="4430" spans="6:13" x14ac:dyDescent="0.2">
      <c r="F4430" s="312"/>
      <c r="M4430" s="312"/>
    </row>
    <row r="4431" spans="6:13" x14ac:dyDescent="0.2">
      <c r="F4431" s="312"/>
      <c r="M4431" s="312"/>
    </row>
    <row r="4432" spans="6:13" x14ac:dyDescent="0.2">
      <c r="F4432" s="312"/>
      <c r="M4432" s="312"/>
    </row>
    <row r="4433" spans="6:13" x14ac:dyDescent="0.2">
      <c r="F4433" s="312"/>
      <c r="M4433" s="312"/>
    </row>
    <row r="4434" spans="6:13" x14ac:dyDescent="0.2">
      <c r="F4434" s="312"/>
      <c r="M4434" s="312"/>
    </row>
    <row r="4435" spans="6:13" x14ac:dyDescent="0.2">
      <c r="F4435" s="312"/>
      <c r="M4435" s="312"/>
    </row>
    <row r="4444" spans="6:13" x14ac:dyDescent="0.2">
      <c r="F4444" s="312"/>
      <c r="M4444" s="312"/>
    </row>
    <row r="4445" spans="6:13" x14ac:dyDescent="0.2">
      <c r="F4445" s="312"/>
      <c r="M4445" s="312"/>
    </row>
    <row r="4446" spans="6:13" x14ac:dyDescent="0.2">
      <c r="F4446" s="312"/>
      <c r="M4446" s="312"/>
    </row>
    <row r="4447" spans="6:13" x14ac:dyDescent="0.2">
      <c r="F4447" s="312"/>
      <c r="M4447" s="312"/>
    </row>
    <row r="4448" spans="6:13" x14ac:dyDescent="0.2">
      <c r="F4448" s="312"/>
      <c r="M4448" s="312"/>
    </row>
    <row r="4449" spans="6:13" x14ac:dyDescent="0.2">
      <c r="F4449" s="312"/>
      <c r="M4449" s="312"/>
    </row>
    <row r="4450" spans="6:13" x14ac:dyDescent="0.2">
      <c r="F4450" s="312"/>
      <c r="M4450" s="312"/>
    </row>
    <row r="4451" spans="6:13" x14ac:dyDescent="0.2">
      <c r="F4451" s="312"/>
      <c r="M4451" s="312"/>
    </row>
    <row r="4452" spans="6:13" x14ac:dyDescent="0.2">
      <c r="F4452" s="312"/>
      <c r="M4452" s="312"/>
    </row>
    <row r="4453" spans="6:13" x14ac:dyDescent="0.2">
      <c r="F4453" s="312"/>
      <c r="M4453" s="312"/>
    </row>
    <row r="4454" spans="6:13" x14ac:dyDescent="0.2">
      <c r="F4454" s="312"/>
      <c r="M4454" s="312"/>
    </row>
    <row r="4455" spans="6:13" x14ac:dyDescent="0.2">
      <c r="F4455" s="312"/>
      <c r="M4455" s="312"/>
    </row>
    <row r="4456" spans="6:13" x14ac:dyDescent="0.2">
      <c r="F4456" s="312"/>
      <c r="M4456" s="312"/>
    </row>
    <row r="4457" spans="6:13" x14ac:dyDescent="0.2">
      <c r="F4457" s="312"/>
      <c r="M4457" s="312"/>
    </row>
    <row r="4458" spans="6:13" x14ac:dyDescent="0.2">
      <c r="F4458" s="312"/>
      <c r="M4458" s="312"/>
    </row>
    <row r="4459" spans="6:13" x14ac:dyDescent="0.2">
      <c r="F4459" s="312"/>
      <c r="M4459" s="312"/>
    </row>
    <row r="4460" spans="6:13" x14ac:dyDescent="0.2">
      <c r="F4460" s="312"/>
      <c r="M4460" s="312"/>
    </row>
    <row r="4461" spans="6:13" x14ac:dyDescent="0.2">
      <c r="F4461" s="312"/>
      <c r="M4461" s="312"/>
    </row>
    <row r="4462" spans="6:13" x14ac:dyDescent="0.2">
      <c r="F4462" s="312"/>
      <c r="M4462" s="312"/>
    </row>
    <row r="4463" spans="6:13" x14ac:dyDescent="0.2">
      <c r="F4463" s="312"/>
      <c r="M4463" s="312"/>
    </row>
    <row r="4464" spans="6:13" x14ac:dyDescent="0.2">
      <c r="F4464" s="312"/>
      <c r="M4464" s="312"/>
    </row>
    <row r="4465" spans="6:13" x14ac:dyDescent="0.2">
      <c r="F4465" s="312"/>
      <c r="M4465" s="312"/>
    </row>
    <row r="4466" spans="6:13" x14ac:dyDescent="0.2">
      <c r="F4466" s="312"/>
      <c r="M4466" s="312"/>
    </row>
    <row r="4467" spans="6:13" x14ac:dyDescent="0.2">
      <c r="F4467" s="312"/>
      <c r="M4467" s="312"/>
    </row>
    <row r="4468" spans="6:13" x14ac:dyDescent="0.2">
      <c r="F4468" s="312"/>
      <c r="M4468" s="312"/>
    </row>
    <row r="4469" spans="6:13" x14ac:dyDescent="0.2">
      <c r="F4469" s="312"/>
      <c r="M4469" s="312"/>
    </row>
    <row r="4470" spans="6:13" x14ac:dyDescent="0.2">
      <c r="F4470" s="312"/>
      <c r="M4470" s="312"/>
    </row>
    <row r="4471" spans="6:13" x14ac:dyDescent="0.2">
      <c r="F4471" s="312"/>
      <c r="M4471" s="312"/>
    </row>
    <row r="4472" spans="6:13" x14ac:dyDescent="0.2">
      <c r="F4472" s="312"/>
      <c r="M4472" s="312"/>
    </row>
    <row r="4473" spans="6:13" x14ac:dyDescent="0.2">
      <c r="F4473" s="312"/>
      <c r="M4473" s="312"/>
    </row>
    <row r="4474" spans="6:13" x14ac:dyDescent="0.2">
      <c r="F4474" s="312"/>
      <c r="M4474" s="312"/>
    </row>
    <row r="4475" spans="6:13" x14ac:dyDescent="0.2">
      <c r="F4475" s="312"/>
      <c r="M4475" s="312"/>
    </row>
    <row r="4476" spans="6:13" x14ac:dyDescent="0.2">
      <c r="F4476" s="312"/>
      <c r="M4476" s="312"/>
    </row>
    <row r="4477" spans="6:13" x14ac:dyDescent="0.2">
      <c r="F4477" s="312"/>
      <c r="M4477" s="312"/>
    </row>
    <row r="4478" spans="6:13" x14ac:dyDescent="0.2">
      <c r="F4478" s="312"/>
      <c r="M4478" s="312"/>
    </row>
    <row r="4479" spans="6:13" x14ac:dyDescent="0.2">
      <c r="F4479" s="312"/>
      <c r="M4479" s="312"/>
    </row>
    <row r="4480" spans="6:13" x14ac:dyDescent="0.2">
      <c r="F4480" s="312"/>
      <c r="M4480" s="312"/>
    </row>
    <row r="4481" spans="6:13" x14ac:dyDescent="0.2">
      <c r="F4481" s="312"/>
      <c r="M4481" s="312"/>
    </row>
    <row r="4482" spans="6:13" x14ac:dyDescent="0.2">
      <c r="F4482" s="312"/>
      <c r="M4482" s="312"/>
    </row>
    <row r="4483" spans="6:13" x14ac:dyDescent="0.2">
      <c r="F4483" s="312"/>
      <c r="M4483" s="312"/>
    </row>
    <row r="4484" spans="6:13" x14ac:dyDescent="0.2">
      <c r="F4484" s="312"/>
      <c r="M4484" s="312"/>
    </row>
    <row r="4485" spans="6:13" x14ac:dyDescent="0.2">
      <c r="F4485" s="312"/>
      <c r="M4485" s="312"/>
    </row>
    <row r="4486" spans="6:13" x14ac:dyDescent="0.2">
      <c r="F4486" s="312"/>
      <c r="M4486" s="312"/>
    </row>
    <row r="4487" spans="6:13" x14ac:dyDescent="0.2">
      <c r="F4487" s="312"/>
      <c r="M4487" s="312"/>
    </row>
    <row r="4488" spans="6:13" x14ac:dyDescent="0.2">
      <c r="F4488" s="312"/>
      <c r="M4488" s="312"/>
    </row>
    <row r="4489" spans="6:13" x14ac:dyDescent="0.2">
      <c r="F4489" s="312"/>
      <c r="M4489" s="312"/>
    </row>
    <row r="4497" spans="6:13" x14ac:dyDescent="0.2">
      <c r="F4497" s="312"/>
      <c r="M4497" s="312"/>
    </row>
    <row r="4498" spans="6:13" x14ac:dyDescent="0.2">
      <c r="F4498" s="312"/>
      <c r="M4498" s="312"/>
    </row>
    <row r="4499" spans="6:13" x14ac:dyDescent="0.2">
      <c r="F4499" s="312"/>
      <c r="M4499" s="312"/>
    </row>
    <row r="4500" spans="6:13" x14ac:dyDescent="0.2">
      <c r="F4500" s="312"/>
      <c r="M4500" s="312"/>
    </row>
    <row r="4501" spans="6:13" x14ac:dyDescent="0.2">
      <c r="F4501" s="312"/>
      <c r="M4501" s="312"/>
    </row>
    <row r="4502" spans="6:13" x14ac:dyDescent="0.2">
      <c r="F4502" s="312"/>
      <c r="M4502" s="312"/>
    </row>
    <row r="4503" spans="6:13" x14ac:dyDescent="0.2">
      <c r="F4503" s="312"/>
      <c r="M4503" s="312"/>
    </row>
    <row r="4504" spans="6:13" x14ac:dyDescent="0.2">
      <c r="F4504" s="312"/>
      <c r="M4504" s="312"/>
    </row>
    <row r="4505" spans="6:13" x14ac:dyDescent="0.2">
      <c r="F4505" s="312"/>
      <c r="M4505" s="312"/>
    </row>
    <row r="4506" spans="6:13" x14ac:dyDescent="0.2">
      <c r="F4506" s="312"/>
      <c r="M4506" s="312"/>
    </row>
    <row r="4507" spans="6:13" x14ac:dyDescent="0.2">
      <c r="F4507" s="312"/>
      <c r="M4507" s="312"/>
    </row>
    <row r="4518" spans="6:13" x14ac:dyDescent="0.2">
      <c r="F4518" s="312"/>
    </row>
    <row r="4519" spans="6:13" x14ac:dyDescent="0.2">
      <c r="F4519" s="312"/>
    </row>
    <row r="4520" spans="6:13" x14ac:dyDescent="0.2">
      <c r="F4520" s="312"/>
    </row>
    <row r="4521" spans="6:13" x14ac:dyDescent="0.2">
      <c r="F4521" s="312"/>
    </row>
    <row r="4522" spans="6:13" x14ac:dyDescent="0.2">
      <c r="F4522" s="312"/>
    </row>
    <row r="4523" spans="6:13" x14ac:dyDescent="0.2">
      <c r="F4523" s="312"/>
      <c r="M4523" s="312"/>
    </row>
    <row r="4524" spans="6:13" x14ac:dyDescent="0.2">
      <c r="F4524" s="312"/>
      <c r="M4524" s="312"/>
    </row>
    <row r="4525" spans="6:13" x14ac:dyDescent="0.2">
      <c r="F4525" s="312"/>
      <c r="M4525" s="312"/>
    </row>
    <row r="4526" spans="6:13" x14ac:dyDescent="0.2">
      <c r="F4526" s="312"/>
      <c r="M4526" s="312"/>
    </row>
    <row r="4527" spans="6:13" x14ac:dyDescent="0.2">
      <c r="F4527" s="312"/>
      <c r="M4527" s="312"/>
    </row>
    <row r="4528" spans="6:13" x14ac:dyDescent="0.2">
      <c r="F4528" s="312"/>
      <c r="M4528" s="312"/>
    </row>
    <row r="4539" spans="6:13" x14ac:dyDescent="0.2">
      <c r="F4539" s="312"/>
      <c r="M4539" s="312"/>
    </row>
    <row r="4540" spans="6:13" x14ac:dyDescent="0.2">
      <c r="F4540" s="312"/>
      <c r="M4540" s="312"/>
    </row>
    <row r="4541" spans="6:13" x14ac:dyDescent="0.2">
      <c r="F4541" s="312"/>
      <c r="M4541" s="312"/>
    </row>
    <row r="4542" spans="6:13" x14ac:dyDescent="0.2">
      <c r="F4542" s="312"/>
      <c r="M4542" s="312"/>
    </row>
    <row r="4543" spans="6:13" x14ac:dyDescent="0.2">
      <c r="F4543" s="312"/>
      <c r="M4543" s="312"/>
    </row>
    <row r="4544" spans="6:13" x14ac:dyDescent="0.2">
      <c r="M4544" s="312"/>
    </row>
    <row r="4545" spans="6:13" x14ac:dyDescent="0.2">
      <c r="M4545" s="312"/>
    </row>
    <row r="4546" spans="6:13" x14ac:dyDescent="0.2">
      <c r="M4546" s="312"/>
    </row>
    <row r="4547" spans="6:13" x14ac:dyDescent="0.2">
      <c r="M4547" s="312"/>
    </row>
    <row r="4548" spans="6:13" x14ac:dyDescent="0.2">
      <c r="M4548" s="312"/>
    </row>
    <row r="4549" spans="6:13" x14ac:dyDescent="0.2">
      <c r="F4549" s="312"/>
      <c r="M4549" s="312"/>
    </row>
    <row r="4560" spans="6:13" x14ac:dyDescent="0.2">
      <c r="F4560" s="312"/>
      <c r="M4560" s="312"/>
    </row>
    <row r="4561" spans="6:13" x14ac:dyDescent="0.2">
      <c r="F4561" s="312"/>
      <c r="M4561" s="312"/>
    </row>
    <row r="4562" spans="6:13" x14ac:dyDescent="0.2">
      <c r="F4562" s="312"/>
      <c r="M4562" s="312"/>
    </row>
    <row r="4563" spans="6:13" x14ac:dyDescent="0.2">
      <c r="F4563" s="312"/>
      <c r="M4563" s="312"/>
    </row>
    <row r="4564" spans="6:13" x14ac:dyDescent="0.2">
      <c r="F4564" s="312"/>
      <c r="M4564" s="312"/>
    </row>
    <row r="4565" spans="6:13" x14ac:dyDescent="0.2">
      <c r="F4565" s="312"/>
      <c r="M4565" s="312"/>
    </row>
    <row r="4566" spans="6:13" x14ac:dyDescent="0.2">
      <c r="F4566" s="312"/>
      <c r="M4566" s="312"/>
    </row>
    <row r="4567" spans="6:13" x14ac:dyDescent="0.2">
      <c r="F4567" s="312"/>
      <c r="M4567" s="312"/>
    </row>
    <row r="4568" spans="6:13" x14ac:dyDescent="0.2">
      <c r="F4568" s="312"/>
      <c r="M4568" s="312"/>
    </row>
    <row r="4569" spans="6:13" x14ac:dyDescent="0.2">
      <c r="F4569" s="312"/>
      <c r="M4569" s="312"/>
    </row>
    <row r="4570" spans="6:13" x14ac:dyDescent="0.2">
      <c r="F4570" s="312"/>
      <c r="M4570" s="312"/>
    </row>
    <row r="4571" spans="6:13" x14ac:dyDescent="0.2">
      <c r="F4571" s="312"/>
      <c r="M4571" s="312"/>
    </row>
    <row r="4572" spans="6:13" x14ac:dyDescent="0.2">
      <c r="F4572" s="312"/>
      <c r="M4572" s="312"/>
    </row>
    <row r="4573" spans="6:13" x14ac:dyDescent="0.2">
      <c r="F4573" s="312"/>
      <c r="M4573" s="312"/>
    </row>
    <row r="4574" spans="6:13" x14ac:dyDescent="0.2">
      <c r="F4574" s="312"/>
      <c r="M4574" s="312"/>
    </row>
    <row r="4585" spans="6:13" x14ac:dyDescent="0.2">
      <c r="F4585" s="312"/>
      <c r="M4585" s="312"/>
    </row>
    <row r="4586" spans="6:13" x14ac:dyDescent="0.2">
      <c r="F4586" s="312"/>
      <c r="M4586" s="312"/>
    </row>
    <row r="4587" spans="6:13" x14ac:dyDescent="0.2">
      <c r="F4587" s="312"/>
      <c r="M4587" s="312"/>
    </row>
    <row r="4588" spans="6:13" x14ac:dyDescent="0.2">
      <c r="F4588" s="312"/>
      <c r="M4588" s="312"/>
    </row>
    <row r="4589" spans="6:13" x14ac:dyDescent="0.2">
      <c r="F4589" s="312"/>
      <c r="M4589" s="312"/>
    </row>
    <row r="4590" spans="6:13" x14ac:dyDescent="0.2">
      <c r="F4590" s="312"/>
      <c r="M4590" s="312"/>
    </row>
    <row r="4591" spans="6:13" x14ac:dyDescent="0.2">
      <c r="F4591" s="312"/>
      <c r="M4591" s="312"/>
    </row>
    <row r="4592" spans="6:13" x14ac:dyDescent="0.2">
      <c r="F4592" s="312"/>
      <c r="M4592" s="312"/>
    </row>
    <row r="4593" spans="6:13" x14ac:dyDescent="0.2">
      <c r="F4593" s="312"/>
      <c r="M4593" s="312"/>
    </row>
    <row r="4594" spans="6:13" x14ac:dyDescent="0.2">
      <c r="F4594" s="312"/>
      <c r="M4594" s="312"/>
    </row>
    <row r="4595" spans="6:13" x14ac:dyDescent="0.2">
      <c r="F4595" s="312"/>
      <c r="M4595" s="312"/>
    </row>
    <row r="4606" spans="6:13" x14ac:dyDescent="0.2">
      <c r="F4606" s="312"/>
      <c r="M4606" s="312"/>
    </row>
    <row r="4607" spans="6:13" x14ac:dyDescent="0.2">
      <c r="F4607" s="312"/>
      <c r="M4607" s="312"/>
    </row>
    <row r="4608" spans="6:13" x14ac:dyDescent="0.2">
      <c r="F4608" s="312"/>
      <c r="M4608" s="312"/>
    </row>
    <row r="4609" spans="6:13" x14ac:dyDescent="0.2">
      <c r="F4609" s="312"/>
      <c r="M4609" s="312"/>
    </row>
    <row r="4610" spans="6:13" x14ac:dyDescent="0.2">
      <c r="F4610" s="312"/>
      <c r="M4610" s="312"/>
    </row>
    <row r="4611" spans="6:13" x14ac:dyDescent="0.2">
      <c r="F4611" s="312"/>
      <c r="M4611" s="312"/>
    </row>
    <row r="4612" spans="6:13" x14ac:dyDescent="0.2">
      <c r="F4612" s="312"/>
      <c r="M4612" s="312"/>
    </row>
    <row r="4613" spans="6:13" x14ac:dyDescent="0.2">
      <c r="F4613" s="312"/>
      <c r="M4613" s="312"/>
    </row>
    <row r="4614" spans="6:13" x14ac:dyDescent="0.2">
      <c r="F4614" s="312"/>
      <c r="M4614" s="312"/>
    </row>
    <row r="4615" spans="6:13" x14ac:dyDescent="0.2">
      <c r="F4615" s="312"/>
      <c r="M4615" s="312"/>
    </row>
    <row r="4616" spans="6:13" x14ac:dyDescent="0.2">
      <c r="F4616" s="312"/>
      <c r="M4616" s="312"/>
    </row>
    <row r="4617" spans="6:13" x14ac:dyDescent="0.2">
      <c r="F4617" s="312"/>
      <c r="M4617" s="312"/>
    </row>
    <row r="4618" spans="6:13" x14ac:dyDescent="0.2">
      <c r="F4618" s="312"/>
      <c r="M4618" s="312"/>
    </row>
    <row r="4619" spans="6:13" x14ac:dyDescent="0.2">
      <c r="F4619" s="312"/>
      <c r="M4619" s="312"/>
    </row>
    <row r="4620" spans="6:13" x14ac:dyDescent="0.2">
      <c r="F4620" s="312"/>
      <c r="M4620" s="312"/>
    </row>
    <row r="4631" spans="6:13" x14ac:dyDescent="0.2">
      <c r="F4631" s="312"/>
      <c r="M4631" s="312"/>
    </row>
    <row r="4632" spans="6:13" x14ac:dyDescent="0.2">
      <c r="F4632" s="312"/>
      <c r="M4632" s="312"/>
    </row>
    <row r="4633" spans="6:13" x14ac:dyDescent="0.2">
      <c r="F4633" s="312"/>
      <c r="M4633" s="312"/>
    </row>
    <row r="4634" spans="6:13" x14ac:dyDescent="0.2">
      <c r="F4634" s="312"/>
      <c r="M4634" s="312"/>
    </row>
    <row r="4635" spans="6:13" x14ac:dyDescent="0.2">
      <c r="F4635" s="312"/>
      <c r="M4635" s="312"/>
    </row>
    <row r="4636" spans="6:13" x14ac:dyDescent="0.2">
      <c r="F4636" s="312"/>
      <c r="M4636" s="312"/>
    </row>
    <row r="4637" spans="6:13" x14ac:dyDescent="0.2">
      <c r="F4637" s="312"/>
      <c r="M4637" s="312"/>
    </row>
    <row r="4638" spans="6:13" x14ac:dyDescent="0.2">
      <c r="F4638" s="312"/>
      <c r="M4638" s="312"/>
    </row>
    <row r="4639" spans="6:13" x14ac:dyDescent="0.2">
      <c r="F4639" s="312"/>
      <c r="M4639" s="312"/>
    </row>
    <row r="4640" spans="6:13" x14ac:dyDescent="0.2">
      <c r="F4640" s="312"/>
      <c r="M4640" s="312"/>
    </row>
    <row r="4641" spans="6:13" x14ac:dyDescent="0.2">
      <c r="F4641" s="312"/>
      <c r="M4641" s="312"/>
    </row>
    <row r="4652" spans="6:13" x14ac:dyDescent="0.2">
      <c r="F4652" s="312"/>
      <c r="M4652" s="312"/>
    </row>
    <row r="4653" spans="6:13" x14ac:dyDescent="0.2">
      <c r="F4653" s="312"/>
      <c r="M4653" s="312"/>
    </row>
    <row r="4654" spans="6:13" x14ac:dyDescent="0.2">
      <c r="F4654" s="312"/>
      <c r="M4654" s="312"/>
    </row>
    <row r="4655" spans="6:13" x14ac:dyDescent="0.2">
      <c r="F4655" s="312"/>
      <c r="M4655" s="312"/>
    </row>
    <row r="4656" spans="6:13" x14ac:dyDescent="0.2">
      <c r="F4656" s="312"/>
      <c r="M4656" s="312"/>
    </row>
    <row r="4657" spans="6:13" x14ac:dyDescent="0.2">
      <c r="F4657" s="312"/>
      <c r="M4657" s="312"/>
    </row>
    <row r="4658" spans="6:13" x14ac:dyDescent="0.2">
      <c r="F4658" s="312"/>
      <c r="M4658" s="312"/>
    </row>
    <row r="4659" spans="6:13" x14ac:dyDescent="0.2">
      <c r="F4659" s="312"/>
      <c r="M4659" s="312"/>
    </row>
    <row r="4660" spans="6:13" x14ac:dyDescent="0.2">
      <c r="F4660" s="312"/>
      <c r="M4660" s="312"/>
    </row>
    <row r="4661" spans="6:13" x14ac:dyDescent="0.2">
      <c r="F4661" s="312"/>
      <c r="M4661" s="312"/>
    </row>
    <row r="4662" spans="6:13" x14ac:dyDescent="0.2">
      <c r="F4662" s="312"/>
      <c r="M4662" s="312"/>
    </row>
    <row r="4663" spans="6:13" x14ac:dyDescent="0.2">
      <c r="F4663" s="312"/>
      <c r="M4663" s="312"/>
    </row>
    <row r="4664" spans="6:13" x14ac:dyDescent="0.2">
      <c r="F4664" s="312"/>
      <c r="M4664" s="312"/>
    </row>
    <row r="4665" spans="6:13" x14ac:dyDescent="0.2">
      <c r="F4665" s="312"/>
      <c r="M4665" s="312"/>
    </row>
    <row r="4666" spans="6:13" x14ac:dyDescent="0.2">
      <c r="F4666" s="312"/>
      <c r="M4666" s="312"/>
    </row>
    <row r="4667" spans="6:13" x14ac:dyDescent="0.2">
      <c r="F4667" s="312"/>
      <c r="M4667" s="312"/>
    </row>
    <row r="4668" spans="6:13" x14ac:dyDescent="0.2">
      <c r="F4668" s="312"/>
      <c r="M4668" s="312"/>
    </row>
    <row r="4669" spans="6:13" x14ac:dyDescent="0.2">
      <c r="F4669" s="312"/>
      <c r="M4669" s="312"/>
    </row>
    <row r="4670" spans="6:13" x14ac:dyDescent="0.2">
      <c r="F4670" s="312"/>
      <c r="M4670" s="312"/>
    </row>
    <row r="4671" spans="6:13" x14ac:dyDescent="0.2">
      <c r="F4671" s="312"/>
      <c r="M4671" s="312"/>
    </row>
    <row r="4672" spans="6:13" x14ac:dyDescent="0.2">
      <c r="F4672" s="312"/>
      <c r="M4672" s="312"/>
    </row>
    <row r="4683" spans="6:13" x14ac:dyDescent="0.2">
      <c r="F4683" s="312"/>
      <c r="M4683" s="312"/>
    </row>
    <row r="4684" spans="6:13" x14ac:dyDescent="0.2">
      <c r="F4684" s="312"/>
      <c r="M4684" s="312"/>
    </row>
    <row r="4685" spans="6:13" x14ac:dyDescent="0.2">
      <c r="F4685" s="312"/>
      <c r="M4685" s="312"/>
    </row>
    <row r="4686" spans="6:13" x14ac:dyDescent="0.2">
      <c r="F4686" s="312"/>
      <c r="M4686" s="312"/>
    </row>
    <row r="4687" spans="6:13" x14ac:dyDescent="0.2">
      <c r="F4687" s="312"/>
      <c r="M4687" s="312"/>
    </row>
    <row r="4688" spans="6:13" x14ac:dyDescent="0.2">
      <c r="F4688" s="312"/>
      <c r="M4688" s="312"/>
    </row>
    <row r="4689" spans="6:13" x14ac:dyDescent="0.2">
      <c r="F4689" s="312"/>
      <c r="M4689" s="312"/>
    </row>
    <row r="4690" spans="6:13" x14ac:dyDescent="0.2">
      <c r="F4690" s="312"/>
      <c r="M4690" s="312"/>
    </row>
    <row r="4691" spans="6:13" x14ac:dyDescent="0.2">
      <c r="F4691" s="312"/>
      <c r="M4691" s="312"/>
    </row>
    <row r="4692" spans="6:13" x14ac:dyDescent="0.2">
      <c r="F4692" s="312"/>
      <c r="M4692" s="312"/>
    </row>
    <row r="4693" spans="6:13" x14ac:dyDescent="0.2">
      <c r="F4693" s="312"/>
      <c r="M4693" s="312"/>
    </row>
    <row r="4704" spans="6:13" x14ac:dyDescent="0.2">
      <c r="F4704" s="312"/>
      <c r="M4704" s="312"/>
    </row>
    <row r="4705" spans="6:13" x14ac:dyDescent="0.2">
      <c r="F4705" s="312"/>
      <c r="M4705" s="312"/>
    </row>
    <row r="4706" spans="6:13" x14ac:dyDescent="0.2">
      <c r="F4706" s="312"/>
      <c r="M4706" s="312"/>
    </row>
    <row r="4707" spans="6:13" x14ac:dyDescent="0.2">
      <c r="F4707" s="312"/>
      <c r="M4707" s="312"/>
    </row>
    <row r="4708" spans="6:13" x14ac:dyDescent="0.2">
      <c r="F4708" s="312"/>
      <c r="M4708" s="312"/>
    </row>
    <row r="4709" spans="6:13" x14ac:dyDescent="0.2">
      <c r="F4709" s="312"/>
    </row>
    <row r="4710" spans="6:13" x14ac:dyDescent="0.2">
      <c r="F4710" s="312"/>
    </row>
    <row r="4711" spans="6:13" x14ac:dyDescent="0.2">
      <c r="F4711" s="312"/>
    </row>
    <row r="4712" spans="6:13" x14ac:dyDescent="0.2">
      <c r="F4712" s="312"/>
    </row>
    <row r="4713" spans="6:13" x14ac:dyDescent="0.2">
      <c r="F4713" s="312"/>
    </row>
    <row r="4714" spans="6:13" x14ac:dyDescent="0.2">
      <c r="F4714" s="312"/>
      <c r="M4714" s="312"/>
    </row>
    <row r="4725" spans="6:13" x14ac:dyDescent="0.2">
      <c r="F4725" s="312"/>
      <c r="M4725" s="312"/>
    </row>
    <row r="4726" spans="6:13" x14ac:dyDescent="0.2">
      <c r="F4726" s="312"/>
      <c r="M4726" s="312"/>
    </row>
    <row r="4727" spans="6:13" x14ac:dyDescent="0.2">
      <c r="F4727" s="312"/>
      <c r="M4727" s="312"/>
    </row>
    <row r="4728" spans="6:13" x14ac:dyDescent="0.2">
      <c r="F4728" s="312"/>
      <c r="M4728" s="312"/>
    </row>
    <row r="4729" spans="6:13" x14ac:dyDescent="0.2">
      <c r="F4729" s="312"/>
      <c r="M4729" s="312"/>
    </row>
    <row r="4730" spans="6:13" x14ac:dyDescent="0.2">
      <c r="F4730" s="312"/>
    </row>
    <row r="4731" spans="6:13" x14ac:dyDescent="0.2">
      <c r="F4731" s="312"/>
    </row>
    <row r="4732" spans="6:13" x14ac:dyDescent="0.2">
      <c r="F4732" s="312"/>
    </row>
    <row r="4733" spans="6:13" x14ac:dyDescent="0.2">
      <c r="F4733" s="312"/>
    </row>
    <row r="4734" spans="6:13" x14ac:dyDescent="0.2">
      <c r="F4734" s="312"/>
    </row>
    <row r="4735" spans="6:13" x14ac:dyDescent="0.2">
      <c r="F4735" s="312"/>
      <c r="M4735" s="312"/>
    </row>
    <row r="4746" spans="6:6" x14ac:dyDescent="0.2">
      <c r="F4746" s="312"/>
    </row>
    <row r="4747" spans="6:6" x14ac:dyDescent="0.2">
      <c r="F4747" s="312"/>
    </row>
    <row r="4748" spans="6:6" x14ac:dyDescent="0.2">
      <c r="F4748" s="312"/>
    </row>
    <row r="4749" spans="6:6" x14ac:dyDescent="0.2">
      <c r="F4749" s="312"/>
    </row>
    <row r="4750" spans="6:6" x14ac:dyDescent="0.2">
      <c r="F4750" s="312"/>
    </row>
    <row r="4756" spans="6:13" x14ac:dyDescent="0.2">
      <c r="F4756" s="312"/>
      <c r="M4756" s="312"/>
    </row>
    <row r="4757" spans="6:13" x14ac:dyDescent="0.2">
      <c r="F4757" s="312"/>
      <c r="M4757" s="312"/>
    </row>
    <row r="4758" spans="6:13" x14ac:dyDescent="0.2">
      <c r="F4758" s="312"/>
      <c r="M4758" s="312"/>
    </row>
    <row r="4759" spans="6:13" x14ac:dyDescent="0.2">
      <c r="F4759" s="312"/>
      <c r="M4759" s="312"/>
    </row>
    <row r="4760" spans="6:13" x14ac:dyDescent="0.2">
      <c r="F4760" s="312"/>
      <c r="M4760" s="312"/>
    </row>
    <row r="4771" spans="6:13" x14ac:dyDescent="0.2">
      <c r="F4771" s="312"/>
      <c r="M4771" s="312"/>
    </row>
    <row r="4772" spans="6:13" x14ac:dyDescent="0.2">
      <c r="F4772" s="312"/>
      <c r="M4772" s="312"/>
    </row>
    <row r="4773" spans="6:13" x14ac:dyDescent="0.2">
      <c r="F4773" s="312"/>
      <c r="M4773" s="312"/>
    </row>
    <row r="4774" spans="6:13" x14ac:dyDescent="0.2">
      <c r="F4774" s="312"/>
      <c r="M4774" s="312"/>
    </row>
    <row r="4775" spans="6:13" x14ac:dyDescent="0.2">
      <c r="F4775" s="312"/>
      <c r="M4775" s="312"/>
    </row>
    <row r="4776" spans="6:13" x14ac:dyDescent="0.2">
      <c r="F4776" s="312"/>
      <c r="M4776" s="312"/>
    </row>
    <row r="4777" spans="6:13" x14ac:dyDescent="0.2">
      <c r="F4777" s="312"/>
      <c r="M4777" s="312"/>
    </row>
    <row r="4778" spans="6:13" x14ac:dyDescent="0.2">
      <c r="F4778" s="312"/>
      <c r="M4778" s="312"/>
    </row>
    <row r="4779" spans="6:13" x14ac:dyDescent="0.2">
      <c r="F4779" s="312"/>
      <c r="M4779" s="312"/>
    </row>
    <row r="4780" spans="6:13" x14ac:dyDescent="0.2">
      <c r="F4780" s="312"/>
      <c r="M4780" s="312"/>
    </row>
    <row r="4781" spans="6:13" x14ac:dyDescent="0.2">
      <c r="F4781" s="312"/>
      <c r="M4781" s="312"/>
    </row>
    <row r="4792" spans="6:13" x14ac:dyDescent="0.2">
      <c r="F4792" s="312"/>
      <c r="M4792" s="312"/>
    </row>
    <row r="4793" spans="6:13" x14ac:dyDescent="0.2">
      <c r="F4793" s="312"/>
      <c r="M4793" s="312"/>
    </row>
    <row r="4794" spans="6:13" x14ac:dyDescent="0.2">
      <c r="F4794" s="312"/>
      <c r="M4794" s="312"/>
    </row>
    <row r="4795" spans="6:13" x14ac:dyDescent="0.2">
      <c r="F4795" s="312"/>
      <c r="M4795" s="312"/>
    </row>
    <row r="4796" spans="6:13" x14ac:dyDescent="0.2">
      <c r="F4796" s="312"/>
      <c r="M4796" s="312"/>
    </row>
    <row r="4797" spans="6:13" x14ac:dyDescent="0.2">
      <c r="F4797" s="312"/>
      <c r="M4797" s="312"/>
    </row>
    <row r="4798" spans="6:13" x14ac:dyDescent="0.2">
      <c r="F4798" s="312"/>
      <c r="M4798" s="312"/>
    </row>
    <row r="4799" spans="6:13" x14ac:dyDescent="0.2">
      <c r="F4799" s="312"/>
      <c r="M4799" s="312"/>
    </row>
    <row r="4800" spans="6:13" x14ac:dyDescent="0.2">
      <c r="F4800" s="312"/>
      <c r="M4800" s="312"/>
    </row>
    <row r="4801" spans="6:13" x14ac:dyDescent="0.2">
      <c r="F4801" s="312"/>
      <c r="M4801" s="312"/>
    </row>
    <row r="4802" spans="6:13" x14ac:dyDescent="0.2">
      <c r="F4802" s="312"/>
      <c r="M4802" s="312"/>
    </row>
    <row r="4803" spans="6:13" x14ac:dyDescent="0.2">
      <c r="F4803" s="312"/>
      <c r="M4803" s="312"/>
    </row>
    <row r="4804" spans="6:13" x14ac:dyDescent="0.2">
      <c r="F4804" s="312"/>
      <c r="M4804" s="312"/>
    </row>
    <row r="4805" spans="6:13" x14ac:dyDescent="0.2">
      <c r="F4805" s="312"/>
      <c r="M4805" s="312"/>
    </row>
    <row r="4806" spans="6:13" x14ac:dyDescent="0.2">
      <c r="F4806" s="312"/>
      <c r="M4806" s="312"/>
    </row>
    <row r="4817" spans="6:13" x14ac:dyDescent="0.2">
      <c r="F4817" s="312"/>
      <c r="M4817" s="312"/>
    </row>
    <row r="4818" spans="6:13" x14ac:dyDescent="0.2">
      <c r="F4818" s="312"/>
      <c r="M4818" s="312"/>
    </row>
    <row r="4819" spans="6:13" x14ac:dyDescent="0.2">
      <c r="F4819" s="312"/>
      <c r="M4819" s="312"/>
    </row>
    <row r="4820" spans="6:13" x14ac:dyDescent="0.2">
      <c r="F4820" s="312"/>
      <c r="M4820" s="312"/>
    </row>
    <row r="4821" spans="6:13" x14ac:dyDescent="0.2">
      <c r="F4821" s="312"/>
      <c r="M4821" s="312"/>
    </row>
    <row r="4822" spans="6:13" x14ac:dyDescent="0.2">
      <c r="F4822" s="312"/>
      <c r="M4822" s="312"/>
    </row>
    <row r="4823" spans="6:13" x14ac:dyDescent="0.2">
      <c r="F4823" s="312"/>
      <c r="M4823" s="312"/>
    </row>
    <row r="4824" spans="6:13" x14ac:dyDescent="0.2">
      <c r="F4824" s="312"/>
      <c r="M4824" s="312"/>
    </row>
    <row r="4825" spans="6:13" x14ac:dyDescent="0.2">
      <c r="F4825" s="312"/>
      <c r="M4825" s="312"/>
    </row>
    <row r="4826" spans="6:13" x14ac:dyDescent="0.2">
      <c r="F4826" s="312"/>
      <c r="M4826" s="312"/>
    </row>
    <row r="4827" spans="6:13" x14ac:dyDescent="0.2">
      <c r="F4827" s="312"/>
      <c r="M4827" s="312"/>
    </row>
    <row r="4838" spans="6:13" x14ac:dyDescent="0.2">
      <c r="F4838" s="312"/>
      <c r="M4838" s="312"/>
    </row>
    <row r="4839" spans="6:13" x14ac:dyDescent="0.2">
      <c r="F4839" s="312"/>
      <c r="M4839" s="312"/>
    </row>
    <row r="4840" spans="6:13" x14ac:dyDescent="0.2">
      <c r="F4840" s="312"/>
      <c r="M4840" s="312"/>
    </row>
    <row r="4841" spans="6:13" x14ac:dyDescent="0.2">
      <c r="F4841" s="312"/>
      <c r="M4841" s="312"/>
    </row>
    <row r="4842" spans="6:13" x14ac:dyDescent="0.2">
      <c r="F4842" s="312"/>
      <c r="M4842" s="312"/>
    </row>
    <row r="4843" spans="6:13" x14ac:dyDescent="0.2">
      <c r="F4843" s="312"/>
      <c r="M4843" s="312"/>
    </row>
    <row r="4844" spans="6:13" x14ac:dyDescent="0.2">
      <c r="F4844" s="312"/>
      <c r="M4844" s="312"/>
    </row>
    <row r="4845" spans="6:13" x14ac:dyDescent="0.2">
      <c r="F4845" s="312"/>
      <c r="M4845" s="312"/>
    </row>
    <row r="4846" spans="6:13" x14ac:dyDescent="0.2">
      <c r="F4846" s="312"/>
      <c r="M4846" s="312"/>
    </row>
    <row r="4847" spans="6:13" x14ac:dyDescent="0.2">
      <c r="F4847" s="312"/>
      <c r="M4847" s="312"/>
    </row>
    <row r="4848" spans="6:13" x14ac:dyDescent="0.2">
      <c r="F4848" s="312"/>
      <c r="M4848" s="312"/>
    </row>
    <row r="4849" spans="6:13" x14ac:dyDescent="0.2">
      <c r="F4849" s="312"/>
      <c r="M4849" s="312"/>
    </row>
    <row r="4850" spans="6:13" x14ac:dyDescent="0.2">
      <c r="F4850" s="312"/>
      <c r="M4850" s="312"/>
    </row>
    <row r="4851" spans="6:13" x14ac:dyDescent="0.2">
      <c r="F4851" s="312"/>
      <c r="M4851" s="312"/>
    </row>
    <row r="4852" spans="6:13" x14ac:dyDescent="0.2">
      <c r="F4852" s="312"/>
      <c r="M4852" s="312"/>
    </row>
    <row r="4853" spans="6:13" x14ac:dyDescent="0.2">
      <c r="F4853" s="312"/>
      <c r="M4853" s="312"/>
    </row>
    <row r="4854" spans="6:13" x14ac:dyDescent="0.2">
      <c r="F4854" s="312"/>
      <c r="M4854" s="312"/>
    </row>
    <row r="4855" spans="6:13" x14ac:dyDescent="0.2">
      <c r="F4855" s="312"/>
      <c r="M4855" s="312"/>
    </row>
    <row r="4856" spans="6:13" x14ac:dyDescent="0.2">
      <c r="F4856" s="312"/>
      <c r="M4856" s="312"/>
    </row>
    <row r="4857" spans="6:13" x14ac:dyDescent="0.2">
      <c r="F4857" s="312"/>
      <c r="M4857" s="312"/>
    </row>
    <row r="4858" spans="6:13" x14ac:dyDescent="0.2">
      <c r="F4858" s="312"/>
      <c r="M4858" s="312"/>
    </row>
    <row r="4859" spans="6:13" x14ac:dyDescent="0.2">
      <c r="F4859" s="312"/>
      <c r="M4859" s="312"/>
    </row>
    <row r="4870" spans="6:13" x14ac:dyDescent="0.2">
      <c r="F4870" s="312"/>
      <c r="M4870" s="312"/>
    </row>
    <row r="4871" spans="6:13" x14ac:dyDescent="0.2">
      <c r="F4871" s="312"/>
      <c r="M4871" s="312"/>
    </row>
    <row r="4872" spans="6:13" x14ac:dyDescent="0.2">
      <c r="F4872" s="312"/>
      <c r="M4872" s="312"/>
    </row>
    <row r="4873" spans="6:13" x14ac:dyDescent="0.2">
      <c r="F4873" s="312"/>
      <c r="M4873" s="312"/>
    </row>
    <row r="4874" spans="6:13" x14ac:dyDescent="0.2">
      <c r="F4874" s="312"/>
      <c r="M4874" s="312"/>
    </row>
    <row r="4875" spans="6:13" x14ac:dyDescent="0.2">
      <c r="F4875" s="312"/>
      <c r="M4875" s="312"/>
    </row>
    <row r="4876" spans="6:13" x14ac:dyDescent="0.2">
      <c r="F4876" s="312"/>
      <c r="M4876" s="312"/>
    </row>
    <row r="4877" spans="6:13" x14ac:dyDescent="0.2">
      <c r="F4877" s="312"/>
      <c r="M4877" s="312"/>
    </row>
    <row r="4878" spans="6:13" x14ac:dyDescent="0.2">
      <c r="F4878" s="312"/>
      <c r="M4878" s="312"/>
    </row>
    <row r="4879" spans="6:13" x14ac:dyDescent="0.2">
      <c r="F4879" s="312"/>
      <c r="M4879" s="312"/>
    </row>
    <row r="4880" spans="6:13" x14ac:dyDescent="0.2">
      <c r="F4880" s="312"/>
      <c r="M4880" s="312"/>
    </row>
    <row r="4891" spans="6:13" x14ac:dyDescent="0.2">
      <c r="F4891" s="312"/>
    </row>
    <row r="4892" spans="6:13" x14ac:dyDescent="0.2">
      <c r="F4892" s="312"/>
    </row>
    <row r="4893" spans="6:13" x14ac:dyDescent="0.2">
      <c r="F4893" s="312"/>
    </row>
    <row r="4894" spans="6:13" x14ac:dyDescent="0.2">
      <c r="F4894" s="312"/>
    </row>
    <row r="4895" spans="6:13" x14ac:dyDescent="0.2">
      <c r="F4895" s="312"/>
    </row>
    <row r="4896" spans="6:13" x14ac:dyDescent="0.2">
      <c r="F4896" s="312"/>
      <c r="M4896" s="312"/>
    </row>
    <row r="4897" spans="6:13" x14ac:dyDescent="0.2">
      <c r="F4897" s="312"/>
      <c r="M4897" s="312"/>
    </row>
    <row r="4898" spans="6:13" x14ac:dyDescent="0.2">
      <c r="F4898" s="312"/>
      <c r="M4898" s="312"/>
    </row>
    <row r="4899" spans="6:13" x14ac:dyDescent="0.2">
      <c r="F4899" s="312"/>
      <c r="M4899" s="312"/>
    </row>
    <row r="4900" spans="6:13" x14ac:dyDescent="0.2">
      <c r="F4900" s="312"/>
      <c r="M4900" s="312"/>
    </row>
    <row r="4901" spans="6:13" x14ac:dyDescent="0.2">
      <c r="F4901" s="312"/>
      <c r="M4901" s="312"/>
    </row>
    <row r="4912" spans="6:13" x14ac:dyDescent="0.2">
      <c r="F4912" s="312"/>
      <c r="M4912" s="312"/>
    </row>
    <row r="4913" spans="6:13" x14ac:dyDescent="0.2">
      <c r="F4913" s="312"/>
      <c r="M4913" s="312"/>
    </row>
    <row r="4914" spans="6:13" x14ac:dyDescent="0.2">
      <c r="F4914" s="312"/>
      <c r="M4914" s="312"/>
    </row>
    <row r="4915" spans="6:13" x14ac:dyDescent="0.2">
      <c r="F4915" s="312"/>
      <c r="M4915" s="312"/>
    </row>
    <row r="4916" spans="6:13" x14ac:dyDescent="0.2">
      <c r="F4916" s="312"/>
      <c r="M4916" s="312"/>
    </row>
    <row r="4917" spans="6:13" x14ac:dyDescent="0.2">
      <c r="F4917" s="312"/>
      <c r="M4917" s="312"/>
    </row>
    <row r="4918" spans="6:13" x14ac:dyDescent="0.2">
      <c r="F4918" s="312"/>
      <c r="M4918" s="312"/>
    </row>
    <row r="4919" spans="6:13" x14ac:dyDescent="0.2">
      <c r="F4919" s="312"/>
      <c r="M4919" s="312"/>
    </row>
    <row r="4920" spans="6:13" x14ac:dyDescent="0.2">
      <c r="F4920" s="312"/>
      <c r="M4920" s="312"/>
    </row>
    <row r="4921" spans="6:13" x14ac:dyDescent="0.2">
      <c r="F4921" s="312"/>
      <c r="M4921" s="312"/>
    </row>
    <row r="4922" spans="6:13" x14ac:dyDescent="0.2">
      <c r="F4922" s="312"/>
      <c r="M4922" s="312"/>
    </row>
    <row r="4933" spans="6:13" x14ac:dyDescent="0.2">
      <c r="F4933" s="312"/>
      <c r="M4933" s="312"/>
    </row>
    <row r="4934" spans="6:13" x14ac:dyDescent="0.2">
      <c r="F4934" s="312"/>
      <c r="M4934" s="312"/>
    </row>
    <row r="4935" spans="6:13" x14ac:dyDescent="0.2">
      <c r="F4935" s="312"/>
      <c r="M4935" s="312"/>
    </row>
    <row r="4936" spans="6:13" x14ac:dyDescent="0.2">
      <c r="F4936" s="312"/>
      <c r="M4936" s="312"/>
    </row>
    <row r="4937" spans="6:13" x14ac:dyDescent="0.2">
      <c r="F4937" s="312"/>
      <c r="M4937" s="312"/>
    </row>
    <row r="4938" spans="6:13" x14ac:dyDescent="0.2">
      <c r="F4938" s="312"/>
      <c r="M4938" s="312"/>
    </row>
    <row r="4939" spans="6:13" x14ac:dyDescent="0.2">
      <c r="F4939" s="312"/>
      <c r="M4939" s="312"/>
    </row>
    <row r="4940" spans="6:13" x14ac:dyDescent="0.2">
      <c r="F4940" s="312"/>
      <c r="M4940" s="312"/>
    </row>
    <row r="4941" spans="6:13" x14ac:dyDescent="0.2">
      <c r="F4941" s="312"/>
      <c r="M4941" s="312"/>
    </row>
    <row r="4942" spans="6:13" x14ac:dyDescent="0.2">
      <c r="F4942" s="312"/>
      <c r="M4942" s="312"/>
    </row>
    <row r="4943" spans="6:13" x14ac:dyDescent="0.2">
      <c r="F4943" s="312"/>
      <c r="M4943" s="312"/>
    </row>
    <row r="4944" spans="6:13" x14ac:dyDescent="0.2">
      <c r="F4944" s="312"/>
      <c r="M4944" s="312"/>
    </row>
    <row r="4945" spans="6:13" x14ac:dyDescent="0.2">
      <c r="F4945" s="312"/>
      <c r="M4945" s="312"/>
    </row>
    <row r="4946" spans="6:13" x14ac:dyDescent="0.2">
      <c r="F4946" s="312"/>
      <c r="M4946" s="312"/>
    </row>
    <row r="4947" spans="6:13" x14ac:dyDescent="0.2">
      <c r="F4947" s="312"/>
      <c r="M4947" s="312"/>
    </row>
    <row r="4958" spans="6:13" x14ac:dyDescent="0.2">
      <c r="F4958" s="312"/>
      <c r="M4958" s="312"/>
    </row>
    <row r="4959" spans="6:13" x14ac:dyDescent="0.2">
      <c r="F4959" s="312"/>
      <c r="M4959" s="312"/>
    </row>
    <row r="4960" spans="6:13" x14ac:dyDescent="0.2">
      <c r="F4960" s="312"/>
      <c r="M4960" s="312"/>
    </row>
    <row r="4961" spans="6:13" x14ac:dyDescent="0.2">
      <c r="F4961" s="312"/>
      <c r="M4961" s="312"/>
    </row>
    <row r="4962" spans="6:13" x14ac:dyDescent="0.2">
      <c r="F4962" s="312"/>
      <c r="M4962" s="312"/>
    </row>
    <row r="4963" spans="6:13" x14ac:dyDescent="0.2">
      <c r="F4963" s="312"/>
      <c r="M4963" s="312"/>
    </row>
    <row r="4964" spans="6:13" x14ac:dyDescent="0.2">
      <c r="F4964" s="312"/>
      <c r="M4964" s="312"/>
    </row>
    <row r="4965" spans="6:13" x14ac:dyDescent="0.2">
      <c r="F4965" s="312"/>
      <c r="M4965" s="312"/>
    </row>
    <row r="4966" spans="6:13" x14ac:dyDescent="0.2">
      <c r="F4966" s="312"/>
      <c r="M4966" s="312"/>
    </row>
    <row r="4967" spans="6:13" x14ac:dyDescent="0.2">
      <c r="F4967" s="312"/>
      <c r="M4967" s="312"/>
    </row>
    <row r="4968" spans="6:13" x14ac:dyDescent="0.2">
      <c r="F4968" s="312"/>
      <c r="M4968" s="312"/>
    </row>
    <row r="4979" spans="6:13" x14ac:dyDescent="0.2">
      <c r="F4979" s="312"/>
      <c r="M4979" s="312"/>
    </row>
    <row r="4980" spans="6:13" x14ac:dyDescent="0.2">
      <c r="F4980" s="312"/>
      <c r="M4980" s="312"/>
    </row>
    <row r="4981" spans="6:13" x14ac:dyDescent="0.2">
      <c r="F4981" s="312"/>
      <c r="M4981" s="312"/>
    </row>
    <row r="4982" spans="6:13" x14ac:dyDescent="0.2">
      <c r="F4982" s="312"/>
      <c r="M4982" s="312"/>
    </row>
    <row r="4983" spans="6:13" x14ac:dyDescent="0.2">
      <c r="F4983" s="312"/>
      <c r="M4983" s="312"/>
    </row>
    <row r="4984" spans="6:13" x14ac:dyDescent="0.2">
      <c r="F4984" s="312"/>
      <c r="M4984" s="312"/>
    </row>
    <row r="4985" spans="6:13" x14ac:dyDescent="0.2">
      <c r="F4985" s="312"/>
      <c r="M4985" s="312"/>
    </row>
    <row r="4986" spans="6:13" x14ac:dyDescent="0.2">
      <c r="F4986" s="312"/>
      <c r="M4986" s="312"/>
    </row>
    <row r="4987" spans="6:13" x14ac:dyDescent="0.2">
      <c r="F4987" s="312"/>
      <c r="M4987" s="312"/>
    </row>
    <row r="4988" spans="6:13" x14ac:dyDescent="0.2">
      <c r="F4988" s="312"/>
      <c r="M4988" s="312"/>
    </row>
    <row r="4989" spans="6:13" x14ac:dyDescent="0.2">
      <c r="F4989" s="312"/>
      <c r="M4989" s="312"/>
    </row>
    <row r="4990" spans="6:13" x14ac:dyDescent="0.2">
      <c r="F4990" s="312"/>
      <c r="M4990" s="312"/>
    </row>
    <row r="4991" spans="6:13" x14ac:dyDescent="0.2">
      <c r="F4991" s="312"/>
      <c r="M4991" s="312"/>
    </row>
    <row r="4992" spans="6:13" x14ac:dyDescent="0.2">
      <c r="F4992" s="312"/>
      <c r="M4992" s="312"/>
    </row>
    <row r="4993" spans="6:13" x14ac:dyDescent="0.2">
      <c r="F4993" s="312"/>
      <c r="M4993" s="312"/>
    </row>
    <row r="5004" spans="6:13" x14ac:dyDescent="0.2">
      <c r="F5004" s="312"/>
      <c r="M5004" s="312"/>
    </row>
    <row r="5005" spans="6:13" x14ac:dyDescent="0.2">
      <c r="F5005" s="312"/>
      <c r="M5005" s="312"/>
    </row>
    <row r="5006" spans="6:13" x14ac:dyDescent="0.2">
      <c r="F5006" s="312"/>
      <c r="M5006" s="312"/>
    </row>
    <row r="5007" spans="6:13" x14ac:dyDescent="0.2">
      <c r="F5007" s="312"/>
      <c r="M5007" s="312"/>
    </row>
    <row r="5008" spans="6:13" x14ac:dyDescent="0.2">
      <c r="F5008" s="312"/>
      <c r="M5008" s="312"/>
    </row>
    <row r="5009" spans="6:13" x14ac:dyDescent="0.2">
      <c r="F5009" s="312"/>
      <c r="M5009" s="312"/>
    </row>
    <row r="5010" spans="6:13" x14ac:dyDescent="0.2">
      <c r="F5010" s="312"/>
      <c r="M5010" s="312"/>
    </row>
    <row r="5011" spans="6:13" x14ac:dyDescent="0.2">
      <c r="F5011" s="312"/>
      <c r="M5011" s="312"/>
    </row>
    <row r="5012" spans="6:13" x14ac:dyDescent="0.2">
      <c r="F5012" s="312"/>
      <c r="M5012" s="312"/>
    </row>
    <row r="5013" spans="6:13" x14ac:dyDescent="0.2">
      <c r="F5013" s="312"/>
      <c r="M5013" s="312"/>
    </row>
    <row r="5014" spans="6:13" x14ac:dyDescent="0.2">
      <c r="F5014" s="312"/>
      <c r="M5014" s="312"/>
    </row>
    <row r="5025" spans="6:13" x14ac:dyDescent="0.2">
      <c r="F5025" s="312"/>
      <c r="M5025" s="312"/>
    </row>
    <row r="5026" spans="6:13" x14ac:dyDescent="0.2">
      <c r="F5026" s="312"/>
      <c r="M5026" s="312"/>
    </row>
    <row r="5027" spans="6:13" x14ac:dyDescent="0.2">
      <c r="F5027" s="312"/>
      <c r="M5027" s="312"/>
    </row>
    <row r="5028" spans="6:13" x14ac:dyDescent="0.2">
      <c r="F5028" s="312"/>
      <c r="M5028" s="312"/>
    </row>
    <row r="5029" spans="6:13" x14ac:dyDescent="0.2">
      <c r="F5029" s="312"/>
      <c r="M5029" s="312"/>
    </row>
    <row r="5030" spans="6:13" x14ac:dyDescent="0.2">
      <c r="F5030" s="312"/>
      <c r="M5030" s="312"/>
    </row>
    <row r="5031" spans="6:13" x14ac:dyDescent="0.2">
      <c r="F5031" s="312"/>
      <c r="M5031" s="312"/>
    </row>
    <row r="5032" spans="6:13" x14ac:dyDescent="0.2">
      <c r="F5032" s="312"/>
      <c r="M5032" s="312"/>
    </row>
    <row r="5033" spans="6:13" x14ac:dyDescent="0.2">
      <c r="F5033" s="312"/>
      <c r="M5033" s="312"/>
    </row>
    <row r="5034" spans="6:13" x14ac:dyDescent="0.2">
      <c r="F5034" s="312"/>
      <c r="M5034" s="312"/>
    </row>
    <row r="5035" spans="6:13" x14ac:dyDescent="0.2">
      <c r="F5035" s="312"/>
      <c r="M5035" s="312"/>
    </row>
    <row r="5036" spans="6:13" x14ac:dyDescent="0.2">
      <c r="F5036" s="312"/>
      <c r="M5036" s="312"/>
    </row>
    <row r="5037" spans="6:13" x14ac:dyDescent="0.2">
      <c r="F5037" s="312"/>
      <c r="M5037" s="312"/>
    </row>
    <row r="5038" spans="6:13" x14ac:dyDescent="0.2">
      <c r="F5038" s="312"/>
      <c r="M5038" s="312"/>
    </row>
    <row r="5039" spans="6:13" x14ac:dyDescent="0.2">
      <c r="F5039" s="312"/>
      <c r="M5039" s="312"/>
    </row>
    <row r="5040" spans="6:13" x14ac:dyDescent="0.2">
      <c r="F5040" s="312"/>
      <c r="M5040" s="312"/>
    </row>
    <row r="5041" spans="6:13" x14ac:dyDescent="0.2">
      <c r="F5041" s="312"/>
      <c r="M5041" s="312"/>
    </row>
    <row r="5042" spans="6:13" x14ac:dyDescent="0.2">
      <c r="F5042" s="312"/>
      <c r="M5042" s="312"/>
    </row>
    <row r="5043" spans="6:13" x14ac:dyDescent="0.2">
      <c r="F5043" s="312"/>
      <c r="M5043" s="312"/>
    </row>
    <row r="5044" spans="6:13" x14ac:dyDescent="0.2">
      <c r="F5044" s="312"/>
      <c r="M5044" s="312"/>
    </row>
    <row r="5045" spans="6:13" x14ac:dyDescent="0.2">
      <c r="F5045" s="312"/>
      <c r="M5045" s="312"/>
    </row>
    <row r="5046" spans="6:13" x14ac:dyDescent="0.2">
      <c r="F5046" s="312"/>
      <c r="M5046" s="312"/>
    </row>
    <row r="5047" spans="6:13" x14ac:dyDescent="0.2">
      <c r="F5047" s="312"/>
      <c r="M5047" s="312"/>
    </row>
    <row r="5058" spans="6:13" x14ac:dyDescent="0.2">
      <c r="F5058" s="312"/>
      <c r="M5058" s="312"/>
    </row>
    <row r="5059" spans="6:13" x14ac:dyDescent="0.2">
      <c r="F5059" s="312"/>
      <c r="M5059" s="312"/>
    </row>
    <row r="5060" spans="6:13" x14ac:dyDescent="0.2">
      <c r="F5060" s="312"/>
      <c r="M5060" s="312"/>
    </row>
    <row r="5061" spans="6:13" x14ac:dyDescent="0.2">
      <c r="F5061" s="312"/>
      <c r="M5061" s="312"/>
    </row>
    <row r="5062" spans="6:13" x14ac:dyDescent="0.2">
      <c r="F5062" s="312"/>
      <c r="M5062" s="312"/>
    </row>
    <row r="5063" spans="6:13" x14ac:dyDescent="0.2">
      <c r="F5063" s="312"/>
      <c r="M5063" s="312"/>
    </row>
    <row r="5064" spans="6:13" x14ac:dyDescent="0.2">
      <c r="F5064" s="312"/>
      <c r="M5064" s="312"/>
    </row>
    <row r="5065" spans="6:13" x14ac:dyDescent="0.2">
      <c r="F5065" s="312"/>
      <c r="M5065" s="312"/>
    </row>
    <row r="5066" spans="6:13" x14ac:dyDescent="0.2">
      <c r="F5066" s="312"/>
      <c r="M5066" s="312"/>
    </row>
    <row r="5067" spans="6:13" x14ac:dyDescent="0.2">
      <c r="F5067" s="312"/>
      <c r="M5067" s="312"/>
    </row>
    <row r="5068" spans="6:13" x14ac:dyDescent="0.2">
      <c r="F5068" s="312"/>
      <c r="M5068" s="312"/>
    </row>
    <row r="5079" spans="6:13" x14ac:dyDescent="0.2">
      <c r="F5079" s="312"/>
    </row>
    <row r="5080" spans="6:13" x14ac:dyDescent="0.2">
      <c r="F5080" s="312"/>
    </row>
    <row r="5081" spans="6:13" x14ac:dyDescent="0.2">
      <c r="F5081" s="312"/>
    </row>
    <row r="5082" spans="6:13" x14ac:dyDescent="0.2">
      <c r="F5082" s="312"/>
    </row>
    <row r="5083" spans="6:13" x14ac:dyDescent="0.2">
      <c r="F5083" s="312"/>
    </row>
    <row r="5084" spans="6:13" x14ac:dyDescent="0.2">
      <c r="F5084" s="312"/>
      <c r="M5084" s="312"/>
    </row>
    <row r="5085" spans="6:13" x14ac:dyDescent="0.2">
      <c r="F5085" s="312"/>
      <c r="M5085" s="312"/>
    </row>
    <row r="5086" spans="6:13" x14ac:dyDescent="0.2">
      <c r="F5086" s="312"/>
      <c r="M5086" s="312"/>
    </row>
    <row r="5087" spans="6:13" x14ac:dyDescent="0.2">
      <c r="F5087" s="312"/>
      <c r="M5087" s="312"/>
    </row>
    <row r="5088" spans="6:13" x14ac:dyDescent="0.2">
      <c r="F5088" s="312"/>
      <c r="M5088" s="312"/>
    </row>
    <row r="5089" spans="6:13" x14ac:dyDescent="0.2">
      <c r="F5089" s="312"/>
      <c r="M5089" s="312"/>
    </row>
    <row r="5100" spans="6:13" x14ac:dyDescent="0.2">
      <c r="F5100" s="312"/>
      <c r="M5100" s="312"/>
    </row>
    <row r="5101" spans="6:13" x14ac:dyDescent="0.2">
      <c r="F5101" s="312"/>
      <c r="M5101" s="312"/>
    </row>
    <row r="5102" spans="6:13" x14ac:dyDescent="0.2">
      <c r="F5102" s="312"/>
      <c r="M5102" s="312"/>
    </row>
    <row r="5103" spans="6:13" x14ac:dyDescent="0.2">
      <c r="F5103" s="312"/>
      <c r="M5103" s="312"/>
    </row>
    <row r="5104" spans="6:13" x14ac:dyDescent="0.2">
      <c r="F5104" s="312"/>
      <c r="M5104" s="312"/>
    </row>
    <row r="5105" spans="6:13" x14ac:dyDescent="0.2">
      <c r="M5105" s="312"/>
    </row>
    <row r="5106" spans="6:13" x14ac:dyDescent="0.2">
      <c r="M5106" s="312"/>
    </row>
    <row r="5107" spans="6:13" x14ac:dyDescent="0.2">
      <c r="M5107" s="312"/>
    </row>
    <row r="5108" spans="6:13" x14ac:dyDescent="0.2">
      <c r="M5108" s="312"/>
    </row>
    <row r="5109" spans="6:13" x14ac:dyDescent="0.2">
      <c r="M5109" s="312"/>
    </row>
    <row r="5110" spans="6:13" x14ac:dyDescent="0.2">
      <c r="F5110" s="312"/>
      <c r="M5110" s="312"/>
    </row>
    <row r="5121" spans="6:13" x14ac:dyDescent="0.2">
      <c r="F5121" s="312"/>
      <c r="M5121" s="312"/>
    </row>
    <row r="5122" spans="6:13" x14ac:dyDescent="0.2">
      <c r="F5122" s="312"/>
      <c r="M5122" s="312"/>
    </row>
    <row r="5123" spans="6:13" x14ac:dyDescent="0.2">
      <c r="F5123" s="312"/>
      <c r="M5123" s="312"/>
    </row>
    <row r="5124" spans="6:13" x14ac:dyDescent="0.2">
      <c r="F5124" s="312"/>
      <c r="M5124" s="312"/>
    </row>
    <row r="5125" spans="6:13" x14ac:dyDescent="0.2">
      <c r="F5125" s="312"/>
      <c r="M5125" s="312"/>
    </row>
    <row r="5126" spans="6:13" x14ac:dyDescent="0.2">
      <c r="F5126" s="312"/>
      <c r="M5126" s="312"/>
    </row>
    <row r="5127" spans="6:13" x14ac:dyDescent="0.2">
      <c r="F5127" s="312"/>
      <c r="M5127" s="312"/>
    </row>
    <row r="5128" spans="6:13" x14ac:dyDescent="0.2">
      <c r="F5128" s="312"/>
      <c r="M5128" s="312"/>
    </row>
    <row r="5129" spans="6:13" x14ac:dyDescent="0.2">
      <c r="F5129" s="312"/>
      <c r="M5129" s="312"/>
    </row>
    <row r="5130" spans="6:13" x14ac:dyDescent="0.2">
      <c r="F5130" s="312"/>
      <c r="M5130" s="312"/>
    </row>
    <row r="5131" spans="6:13" x14ac:dyDescent="0.2">
      <c r="F5131" s="312"/>
      <c r="M5131" s="312"/>
    </row>
    <row r="5132" spans="6:13" x14ac:dyDescent="0.2">
      <c r="F5132" s="312"/>
      <c r="M5132" s="312"/>
    </row>
    <row r="5133" spans="6:13" x14ac:dyDescent="0.2">
      <c r="F5133" s="312"/>
      <c r="M5133" s="312"/>
    </row>
    <row r="5134" spans="6:13" x14ac:dyDescent="0.2">
      <c r="F5134" s="312"/>
      <c r="M5134" s="312"/>
    </row>
    <row r="5135" spans="6:13" x14ac:dyDescent="0.2">
      <c r="F5135" s="312"/>
      <c r="M5135" s="312"/>
    </row>
    <row r="5146" spans="6:13" x14ac:dyDescent="0.2">
      <c r="F5146" s="312"/>
      <c r="M5146" s="312"/>
    </row>
    <row r="5147" spans="6:13" x14ac:dyDescent="0.2">
      <c r="F5147" s="312"/>
      <c r="M5147" s="312"/>
    </row>
    <row r="5148" spans="6:13" x14ac:dyDescent="0.2">
      <c r="F5148" s="312"/>
      <c r="M5148" s="312"/>
    </row>
    <row r="5149" spans="6:13" x14ac:dyDescent="0.2">
      <c r="F5149" s="312"/>
      <c r="M5149" s="312"/>
    </row>
    <row r="5150" spans="6:13" x14ac:dyDescent="0.2">
      <c r="F5150" s="312"/>
      <c r="M5150" s="312"/>
    </row>
    <row r="5151" spans="6:13" x14ac:dyDescent="0.2">
      <c r="F5151" s="312"/>
      <c r="M5151" s="312"/>
    </row>
    <row r="5152" spans="6:13" x14ac:dyDescent="0.2">
      <c r="F5152" s="312"/>
      <c r="M5152" s="312"/>
    </row>
    <row r="5153" spans="6:13" x14ac:dyDescent="0.2">
      <c r="F5153" s="312"/>
      <c r="M5153" s="312"/>
    </row>
    <row r="5154" spans="6:13" x14ac:dyDescent="0.2">
      <c r="F5154" s="312"/>
      <c r="M5154" s="312"/>
    </row>
    <row r="5155" spans="6:13" x14ac:dyDescent="0.2">
      <c r="F5155" s="312"/>
      <c r="M5155" s="312"/>
    </row>
    <row r="5156" spans="6:13" x14ac:dyDescent="0.2">
      <c r="F5156" s="312"/>
      <c r="M5156" s="312"/>
    </row>
    <row r="5167" spans="6:13" x14ac:dyDescent="0.2">
      <c r="F5167" s="312"/>
      <c r="M5167" s="312"/>
    </row>
    <row r="5168" spans="6:13" x14ac:dyDescent="0.2">
      <c r="F5168" s="312"/>
      <c r="M5168" s="312"/>
    </row>
    <row r="5169" spans="6:13" x14ac:dyDescent="0.2">
      <c r="F5169" s="312"/>
      <c r="M5169" s="312"/>
    </row>
    <row r="5170" spans="6:13" x14ac:dyDescent="0.2">
      <c r="F5170" s="312"/>
      <c r="M5170" s="312"/>
    </row>
    <row r="5171" spans="6:13" x14ac:dyDescent="0.2">
      <c r="F5171" s="312"/>
      <c r="M5171" s="312"/>
    </row>
    <row r="5172" spans="6:13" x14ac:dyDescent="0.2">
      <c r="F5172" s="312"/>
      <c r="M5172" s="312"/>
    </row>
    <row r="5173" spans="6:13" x14ac:dyDescent="0.2">
      <c r="F5173" s="312"/>
      <c r="M5173" s="312"/>
    </row>
    <row r="5174" spans="6:13" x14ac:dyDescent="0.2">
      <c r="F5174" s="312"/>
      <c r="M5174" s="312"/>
    </row>
    <row r="5175" spans="6:13" x14ac:dyDescent="0.2">
      <c r="F5175" s="312"/>
      <c r="M5175" s="312"/>
    </row>
    <row r="5176" spans="6:13" x14ac:dyDescent="0.2">
      <c r="F5176" s="312"/>
      <c r="M5176" s="312"/>
    </row>
    <row r="5177" spans="6:13" x14ac:dyDescent="0.2">
      <c r="F5177" s="312"/>
      <c r="M5177" s="312"/>
    </row>
    <row r="5178" spans="6:13" x14ac:dyDescent="0.2">
      <c r="F5178" s="312"/>
      <c r="M5178" s="312"/>
    </row>
    <row r="5179" spans="6:13" x14ac:dyDescent="0.2">
      <c r="F5179" s="312"/>
      <c r="M5179" s="312"/>
    </row>
    <row r="5180" spans="6:13" x14ac:dyDescent="0.2">
      <c r="F5180" s="312"/>
      <c r="M5180" s="312"/>
    </row>
    <row r="5181" spans="6:13" x14ac:dyDescent="0.2">
      <c r="F5181" s="312"/>
      <c r="M5181" s="312"/>
    </row>
    <row r="5192" spans="6:13" x14ac:dyDescent="0.2">
      <c r="F5192" s="312"/>
      <c r="M5192" s="312"/>
    </row>
    <row r="5193" spans="6:13" x14ac:dyDescent="0.2">
      <c r="F5193" s="312"/>
      <c r="M5193" s="312"/>
    </row>
    <row r="5194" spans="6:13" x14ac:dyDescent="0.2">
      <c r="F5194" s="312"/>
      <c r="M5194" s="312"/>
    </row>
    <row r="5195" spans="6:13" x14ac:dyDescent="0.2">
      <c r="F5195" s="312"/>
      <c r="M5195" s="312"/>
    </row>
    <row r="5196" spans="6:13" x14ac:dyDescent="0.2">
      <c r="F5196" s="312"/>
      <c r="M5196" s="312"/>
    </row>
    <row r="5197" spans="6:13" x14ac:dyDescent="0.2">
      <c r="F5197" s="312"/>
      <c r="M5197" s="312"/>
    </row>
    <row r="5198" spans="6:13" x14ac:dyDescent="0.2">
      <c r="F5198" s="312"/>
      <c r="M5198" s="312"/>
    </row>
    <row r="5199" spans="6:13" x14ac:dyDescent="0.2">
      <c r="F5199" s="312"/>
      <c r="M5199" s="312"/>
    </row>
    <row r="5200" spans="6:13" x14ac:dyDescent="0.2">
      <c r="F5200" s="312"/>
      <c r="M5200" s="312"/>
    </row>
    <row r="5201" spans="6:13" x14ac:dyDescent="0.2">
      <c r="F5201" s="312"/>
      <c r="M5201" s="312"/>
    </row>
    <row r="5202" spans="6:13" x14ac:dyDescent="0.2">
      <c r="F5202" s="312"/>
      <c r="M5202" s="312"/>
    </row>
    <row r="5213" spans="6:13" x14ac:dyDescent="0.2">
      <c r="F5213" s="312"/>
      <c r="M5213" s="312"/>
    </row>
    <row r="5214" spans="6:13" x14ac:dyDescent="0.2">
      <c r="F5214" s="312"/>
      <c r="M5214" s="312"/>
    </row>
    <row r="5215" spans="6:13" x14ac:dyDescent="0.2">
      <c r="F5215" s="312"/>
      <c r="M5215" s="312"/>
    </row>
    <row r="5216" spans="6:13" x14ac:dyDescent="0.2">
      <c r="F5216" s="312"/>
      <c r="M5216" s="312"/>
    </row>
    <row r="5217" spans="6:13" x14ac:dyDescent="0.2">
      <c r="F5217" s="312"/>
      <c r="M5217" s="312"/>
    </row>
    <row r="5218" spans="6:13" x14ac:dyDescent="0.2">
      <c r="F5218" s="312"/>
      <c r="M5218" s="312"/>
    </row>
    <row r="5219" spans="6:13" x14ac:dyDescent="0.2">
      <c r="F5219" s="312"/>
      <c r="M5219" s="312"/>
    </row>
    <row r="5220" spans="6:13" x14ac:dyDescent="0.2">
      <c r="F5220" s="312"/>
      <c r="M5220" s="312"/>
    </row>
    <row r="5221" spans="6:13" x14ac:dyDescent="0.2">
      <c r="F5221" s="312"/>
      <c r="M5221" s="312"/>
    </row>
    <row r="5222" spans="6:13" x14ac:dyDescent="0.2">
      <c r="F5222" s="312"/>
      <c r="M5222" s="312"/>
    </row>
    <row r="5223" spans="6:13" x14ac:dyDescent="0.2">
      <c r="F5223" s="312"/>
      <c r="M5223" s="312"/>
    </row>
    <row r="5224" spans="6:13" x14ac:dyDescent="0.2">
      <c r="F5224" s="312"/>
      <c r="M5224" s="312"/>
    </row>
    <row r="5225" spans="6:13" x14ac:dyDescent="0.2">
      <c r="F5225" s="312"/>
      <c r="M5225" s="312"/>
    </row>
    <row r="5226" spans="6:13" x14ac:dyDescent="0.2">
      <c r="F5226" s="312"/>
      <c r="M5226" s="312"/>
    </row>
    <row r="5227" spans="6:13" x14ac:dyDescent="0.2">
      <c r="F5227" s="312"/>
      <c r="M5227" s="312"/>
    </row>
    <row r="5228" spans="6:13" x14ac:dyDescent="0.2">
      <c r="F5228" s="312"/>
      <c r="M5228" s="312"/>
    </row>
    <row r="5229" spans="6:13" x14ac:dyDescent="0.2">
      <c r="F5229" s="312"/>
      <c r="M5229" s="312"/>
    </row>
    <row r="5230" spans="6:13" x14ac:dyDescent="0.2">
      <c r="F5230" s="312"/>
      <c r="M5230" s="312"/>
    </row>
    <row r="5231" spans="6:13" x14ac:dyDescent="0.2">
      <c r="F5231" s="312"/>
      <c r="M5231" s="312"/>
    </row>
    <row r="5232" spans="6:13" x14ac:dyDescent="0.2">
      <c r="F5232" s="312"/>
      <c r="M5232" s="312"/>
    </row>
    <row r="5233" spans="6:13" x14ac:dyDescent="0.2">
      <c r="F5233" s="312"/>
      <c r="M5233" s="312"/>
    </row>
    <row r="5234" spans="6:13" x14ac:dyDescent="0.2">
      <c r="F5234" s="312"/>
      <c r="M5234" s="312"/>
    </row>
    <row r="5235" spans="6:13" x14ac:dyDescent="0.2">
      <c r="F5235" s="312"/>
      <c r="M5235" s="312"/>
    </row>
    <row r="5236" spans="6:13" x14ac:dyDescent="0.2">
      <c r="F5236" s="312"/>
      <c r="M5236" s="312"/>
    </row>
  </sheetData>
  <pageMargins left="0.78740157499999996" right="0.78740157499999996" top="0.984251969" bottom="0.984251969" header="0.4921259845" footer="0.492125984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EB2C9-59EE-4FC1-8969-70B949B792A8}">
  <sheetPr codeName="Feuil10"/>
  <dimension ref="B1:Y15"/>
  <sheetViews>
    <sheetView topLeftCell="C1" zoomScale="122" workbookViewId="0">
      <selection activeCell="M18" sqref="M18"/>
    </sheetView>
  </sheetViews>
  <sheetFormatPr baseColWidth="10" defaultColWidth="11.42578125" defaultRowHeight="12.75" x14ac:dyDescent="0.2"/>
  <cols>
    <col min="1" max="1" width="4.7109375" style="40" customWidth="1"/>
    <col min="2" max="2" width="5.28515625" style="40" customWidth="1"/>
    <col min="3" max="6" width="11.42578125" style="40"/>
    <col min="7" max="7" width="6.5703125" style="40" customWidth="1"/>
    <col min="8" max="16384" width="11.42578125" style="40"/>
  </cols>
  <sheetData>
    <row r="1" spans="2:25" x14ac:dyDescent="0.2">
      <c r="Y1" s="40" t="s">
        <v>491</v>
      </c>
    </row>
    <row r="2" spans="2:25" x14ac:dyDescent="0.2">
      <c r="B2" s="483" t="s">
        <v>490</v>
      </c>
      <c r="C2" s="484"/>
      <c r="D2" s="484"/>
      <c r="E2" s="484"/>
      <c r="F2" s="484"/>
      <c r="G2" s="484"/>
      <c r="H2" s="484"/>
      <c r="I2" s="484"/>
      <c r="J2" s="484"/>
      <c r="K2" s="485"/>
    </row>
    <row r="3" spans="2:25" x14ac:dyDescent="0.2">
      <c r="B3" s="486"/>
      <c r="C3" s="487"/>
      <c r="D3" s="487"/>
      <c r="E3" s="487"/>
      <c r="F3" s="487"/>
      <c r="G3" s="487"/>
      <c r="H3" s="487"/>
      <c r="I3" s="487"/>
      <c r="J3" s="487"/>
      <c r="K3" s="488"/>
    </row>
    <row r="4" spans="2:25" x14ac:dyDescent="0.2">
      <c r="B4" s="486"/>
      <c r="C4" s="487"/>
      <c r="D4" s="487"/>
      <c r="E4" s="487"/>
      <c r="F4" s="487"/>
      <c r="G4" s="487"/>
      <c r="H4" s="489"/>
      <c r="I4" s="489"/>
      <c r="J4" s="489"/>
      <c r="K4" s="490"/>
    </row>
    <row r="5" spans="2:25" x14ac:dyDescent="0.2">
      <c r="B5" s="305"/>
      <c r="C5" s="303"/>
      <c r="D5" s="304"/>
      <c r="E5" s="304"/>
      <c r="F5" s="304"/>
      <c r="G5" s="303"/>
    </row>
    <row r="6" spans="2:25" x14ac:dyDescent="0.2">
      <c r="B6" s="200"/>
      <c r="C6" s="82"/>
      <c r="D6" s="302" t="s">
        <v>489</v>
      </c>
      <c r="F6" s="300">
        <v>20</v>
      </c>
      <c r="G6" s="301" t="s">
        <v>75</v>
      </c>
    </row>
    <row r="7" spans="2:25" x14ac:dyDescent="0.2">
      <c r="B7" s="200"/>
      <c r="C7" s="82"/>
      <c r="D7" s="40" t="s">
        <v>492</v>
      </c>
      <c r="F7" s="300" t="s">
        <v>487</v>
      </c>
      <c r="G7" s="301" t="s">
        <v>75</v>
      </c>
      <c r="I7" s="300"/>
    </row>
    <row r="8" spans="2:25" x14ac:dyDescent="0.2">
      <c r="B8" s="200"/>
      <c r="C8" s="82"/>
      <c r="D8" s="40" t="s">
        <v>488</v>
      </c>
      <c r="F8" s="300" t="s">
        <v>487</v>
      </c>
      <c r="G8" s="82"/>
      <c r="I8" s="300"/>
    </row>
    <row r="9" spans="2:25" x14ac:dyDescent="0.2">
      <c r="B9" s="200"/>
      <c r="C9" s="82"/>
      <c r="F9" s="300"/>
      <c r="G9" s="82"/>
      <c r="I9" s="300"/>
    </row>
    <row r="10" spans="2:25" x14ac:dyDescent="0.2">
      <c r="B10" s="200"/>
      <c r="C10" s="82"/>
      <c r="G10" s="82"/>
      <c r="I10" s="300"/>
    </row>
    <row r="11" spans="2:25" x14ac:dyDescent="0.2">
      <c r="B11" s="200"/>
      <c r="C11" s="82"/>
      <c r="G11" s="82"/>
      <c r="I11" s="300"/>
    </row>
    <row r="12" spans="2:25" x14ac:dyDescent="0.2">
      <c r="B12" s="200"/>
      <c r="C12" s="82"/>
      <c r="G12" s="82"/>
    </row>
    <row r="13" spans="2:25" x14ac:dyDescent="0.2">
      <c r="B13" s="200"/>
      <c r="G13" s="82"/>
      <c r="K13" s="82"/>
    </row>
    <row r="14" spans="2:25" ht="12.75" customHeight="1" x14ac:dyDescent="0.2">
      <c r="B14" s="200"/>
      <c r="D14" s="482" t="s">
        <v>485</v>
      </c>
      <c r="E14" s="482"/>
      <c r="F14" s="482"/>
      <c r="G14" s="82"/>
      <c r="I14" s="482" t="s">
        <v>484</v>
      </c>
      <c r="J14" s="482"/>
      <c r="K14" s="82"/>
    </row>
    <row r="15" spans="2:25" ht="12.75" customHeight="1" x14ac:dyDescent="0.2">
      <c r="B15" s="200"/>
      <c r="D15" s="482"/>
      <c r="E15" s="482"/>
      <c r="F15" s="482"/>
      <c r="G15" s="82"/>
      <c r="I15" s="482"/>
      <c r="J15" s="482"/>
      <c r="K15" s="82"/>
    </row>
  </sheetData>
  <mergeCells count="3">
    <mergeCell ref="D14:F15"/>
    <mergeCell ref="B2:K4"/>
    <mergeCell ref="I14:J15"/>
  </mergeCells>
  <pageMargins left="0.78740157499999996" right="0.78740157499999996" top="0.984251969" bottom="0.984251969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8298C-05DA-4D58-8846-EF57D35C5B28}">
  <sheetPr codeName="Feuil29"/>
  <dimension ref="A1:Z141"/>
  <sheetViews>
    <sheetView workbookViewId="0">
      <selection activeCell="E24" sqref="E24"/>
    </sheetView>
  </sheetViews>
  <sheetFormatPr baseColWidth="10" defaultColWidth="11.42578125" defaultRowHeight="12.75" x14ac:dyDescent="0.2"/>
  <cols>
    <col min="1" max="1" width="27.85546875" style="308" customWidth="1"/>
    <col min="2" max="5" width="11.42578125" style="307" customWidth="1"/>
    <col min="6" max="6" width="13" style="307" bestFit="1" customWidth="1"/>
    <col min="7" max="14" width="11.42578125" style="307"/>
    <col min="15" max="15" width="11.5703125" style="307" bestFit="1" customWidth="1"/>
    <col min="16" max="26" width="11.42578125" style="307"/>
    <col min="27" max="16384" width="11.42578125" style="306"/>
  </cols>
  <sheetData>
    <row r="1" spans="1:6" x14ac:dyDescent="0.2">
      <c r="A1" s="308" t="s">
        <v>634</v>
      </c>
      <c r="B1" s="307">
        <v>5</v>
      </c>
    </row>
    <row r="2" spans="1:6" s="309" customFormat="1" x14ac:dyDescent="0.2">
      <c r="A2" s="311"/>
      <c r="B2" s="310">
        <v>0</v>
      </c>
      <c r="C2" s="310"/>
      <c r="D2" s="310"/>
      <c r="E2" s="310"/>
    </row>
    <row r="3" spans="1:6" x14ac:dyDescent="0.2">
      <c r="A3" s="308" t="s">
        <v>633</v>
      </c>
      <c r="B3" s="307">
        <v>0</v>
      </c>
      <c r="C3" s="307">
        <v>10000000</v>
      </c>
      <c r="D3" s="307">
        <v>10000000</v>
      </c>
      <c r="E3" s="307">
        <v>10000000</v>
      </c>
      <c r="F3" s="307">
        <v>5000000</v>
      </c>
    </row>
    <row r="4" spans="1:6" x14ac:dyDescent="0.2">
      <c r="A4" s="308" t="s">
        <v>632</v>
      </c>
      <c r="B4" s="307">
        <v>0</v>
      </c>
      <c r="C4" s="307">
        <v>0</v>
      </c>
      <c r="D4" s="307">
        <v>0</v>
      </c>
      <c r="E4" s="307">
        <v>0</v>
      </c>
      <c r="F4" s="307">
        <v>0</v>
      </c>
    </row>
    <row r="5" spans="1:6" x14ac:dyDescent="0.2">
      <c r="A5" s="308" t="s">
        <v>631</v>
      </c>
      <c r="B5" s="307" t="s">
        <v>630</v>
      </c>
      <c r="C5" s="307" t="s">
        <v>630</v>
      </c>
      <c r="D5" s="307" t="s">
        <v>630</v>
      </c>
      <c r="E5" s="307" t="s">
        <v>630</v>
      </c>
      <c r="F5" s="307" t="s">
        <v>630</v>
      </c>
    </row>
    <row r="6" spans="1:6" x14ac:dyDescent="0.2">
      <c r="A6" s="308" t="s">
        <v>629</v>
      </c>
      <c r="B6" s="307">
        <v>5</v>
      </c>
      <c r="C6" s="307">
        <v>5</v>
      </c>
      <c r="D6" s="307">
        <v>5</v>
      </c>
      <c r="E6" s="307">
        <v>5</v>
      </c>
      <c r="F6" s="307">
        <v>5</v>
      </c>
    </row>
    <row r="7" spans="1:6" x14ac:dyDescent="0.2">
      <c r="A7" s="308" t="s">
        <v>628</v>
      </c>
      <c r="B7" s="307" t="s">
        <v>68</v>
      </c>
      <c r="C7" s="307" t="s">
        <v>68</v>
      </c>
      <c r="D7" s="307" t="s">
        <v>68</v>
      </c>
      <c r="E7" s="307" t="s">
        <v>68</v>
      </c>
      <c r="F7" s="307" t="s">
        <v>68</v>
      </c>
    </row>
    <row r="8" spans="1:6" x14ac:dyDescent="0.2">
      <c r="A8" s="308" t="s">
        <v>627</v>
      </c>
      <c r="B8" s="307" t="s">
        <v>11</v>
      </c>
      <c r="C8" s="307" t="s">
        <v>11</v>
      </c>
      <c r="D8" s="307" t="s">
        <v>11</v>
      </c>
      <c r="E8" s="307" t="s">
        <v>11</v>
      </c>
      <c r="F8" s="307" t="s">
        <v>11</v>
      </c>
    </row>
    <row r="9" spans="1:6" x14ac:dyDescent="0.2">
      <c r="A9" s="308" t="s">
        <v>626</v>
      </c>
      <c r="B9" s="307" t="s">
        <v>13</v>
      </c>
      <c r="C9" s="307" t="s">
        <v>13</v>
      </c>
      <c r="D9" s="307" t="s">
        <v>13</v>
      </c>
      <c r="E9" s="307" t="s">
        <v>13</v>
      </c>
      <c r="F9" s="307" t="s">
        <v>13</v>
      </c>
    </row>
    <row r="10" spans="1:6" s="307" customFormat="1" x14ac:dyDescent="0.2">
      <c r="A10" s="308" t="s">
        <v>625</v>
      </c>
      <c r="B10" s="307" t="s">
        <v>15</v>
      </c>
      <c r="C10" s="307" t="s">
        <v>15</v>
      </c>
      <c r="D10" s="307" t="s">
        <v>15</v>
      </c>
      <c r="E10" s="307" t="s">
        <v>15</v>
      </c>
      <c r="F10" s="307" t="s">
        <v>15</v>
      </c>
    </row>
    <row r="11" spans="1:6" s="307" customFormat="1" x14ac:dyDescent="0.2">
      <c r="A11" s="308" t="s">
        <v>624</v>
      </c>
      <c r="B11" s="307" t="s">
        <v>17</v>
      </c>
      <c r="C11" s="307" t="s">
        <v>17</v>
      </c>
      <c r="D11" s="307" t="s">
        <v>17</v>
      </c>
      <c r="E11" s="307" t="s">
        <v>17</v>
      </c>
      <c r="F11" s="307" t="s">
        <v>17</v>
      </c>
    </row>
    <row r="12" spans="1:6" s="307" customFormat="1" x14ac:dyDescent="0.2">
      <c r="A12" s="308" t="s">
        <v>623</v>
      </c>
    </row>
    <row r="13" spans="1:6" s="307" customFormat="1" x14ac:dyDescent="0.2">
      <c r="A13" s="308" t="s">
        <v>622</v>
      </c>
    </row>
    <row r="14" spans="1:6" s="307" customFormat="1" x14ac:dyDescent="0.2">
      <c r="A14" s="308" t="s">
        <v>621</v>
      </c>
    </row>
    <row r="15" spans="1:6" s="307" customFormat="1" x14ac:dyDescent="0.2">
      <c r="A15" s="308" t="s">
        <v>620</v>
      </c>
    </row>
    <row r="16" spans="1:6" s="307" customFormat="1" x14ac:dyDescent="0.2">
      <c r="A16" s="308" t="s">
        <v>619</v>
      </c>
    </row>
    <row r="17" spans="1:6" s="307" customFormat="1" x14ac:dyDescent="0.2">
      <c r="A17" s="308" t="s">
        <v>618</v>
      </c>
    </row>
    <row r="18" spans="1:6" s="307" customFormat="1" x14ac:dyDescent="0.2">
      <c r="A18" s="308" t="s">
        <v>617</v>
      </c>
    </row>
    <row r="19" spans="1:6" s="307" customFormat="1" x14ac:dyDescent="0.2">
      <c r="A19" s="308" t="s">
        <v>616</v>
      </c>
    </row>
    <row r="20" spans="1:6" s="307" customFormat="1" x14ac:dyDescent="0.2">
      <c r="A20" s="308" t="s">
        <v>615</v>
      </c>
    </row>
    <row r="21" spans="1:6" s="307" customFormat="1" x14ac:dyDescent="0.2">
      <c r="A21" s="308" t="s">
        <v>614</v>
      </c>
    </row>
    <row r="22" spans="1:6" s="307" customFormat="1" x14ac:dyDescent="0.2">
      <c r="A22" s="308" t="s">
        <v>613</v>
      </c>
    </row>
    <row r="23" spans="1:6" s="307" customFormat="1" x14ac:dyDescent="0.2">
      <c r="A23" s="308" t="s">
        <v>612</v>
      </c>
    </row>
    <row r="24" spans="1:6" s="307" customFormat="1" x14ac:dyDescent="0.2">
      <c r="A24" s="308" t="s">
        <v>611</v>
      </c>
    </row>
    <row r="25" spans="1:6" s="307" customFormat="1" x14ac:dyDescent="0.2">
      <c r="A25" s="308" t="s">
        <v>610</v>
      </c>
    </row>
    <row r="26" spans="1:6" s="307" customFormat="1" x14ac:dyDescent="0.2">
      <c r="A26" s="308" t="s">
        <v>609</v>
      </c>
    </row>
    <row r="27" spans="1:6" s="307" customFormat="1" x14ac:dyDescent="0.2">
      <c r="A27" s="308" t="s">
        <v>608</v>
      </c>
    </row>
    <row r="28" spans="1:6" s="307" customFormat="1" x14ac:dyDescent="0.2">
      <c r="A28" s="308" t="s">
        <v>607</v>
      </c>
    </row>
    <row r="29" spans="1:6" s="307" customFormat="1" x14ac:dyDescent="0.2">
      <c r="A29" s="308" t="s">
        <v>606</v>
      </c>
    </row>
    <row r="30" spans="1:6" s="307" customFormat="1" x14ac:dyDescent="0.2">
      <c r="A30" s="308" t="s">
        <v>605</v>
      </c>
    </row>
    <row r="31" spans="1:6" s="307" customFormat="1" x14ac:dyDescent="0.2">
      <c r="A31" s="308" t="s">
        <v>604</v>
      </c>
      <c r="B31" s="307">
        <v>3.5</v>
      </c>
      <c r="C31" s="307">
        <v>3.5</v>
      </c>
      <c r="D31" s="307">
        <v>3.5</v>
      </c>
      <c r="E31" s="307">
        <v>3.5</v>
      </c>
      <c r="F31" s="307">
        <v>3.5</v>
      </c>
    </row>
    <row r="32" spans="1:6" s="307" customFormat="1" x14ac:dyDescent="0.2">
      <c r="A32" s="308" t="s">
        <v>603</v>
      </c>
      <c r="B32" s="307">
        <v>90</v>
      </c>
      <c r="C32" s="307">
        <v>90</v>
      </c>
      <c r="D32" s="307">
        <v>90</v>
      </c>
      <c r="E32" s="307">
        <v>90</v>
      </c>
      <c r="F32" s="307">
        <v>90</v>
      </c>
    </row>
    <row r="33" spans="1:6" s="307" customFormat="1" x14ac:dyDescent="0.2">
      <c r="A33" s="308" t="s">
        <v>602</v>
      </c>
      <c r="B33" s="307">
        <v>4</v>
      </c>
      <c r="C33" s="307">
        <v>4</v>
      </c>
      <c r="D33" s="307">
        <v>4</v>
      </c>
      <c r="E33" s="307">
        <v>4</v>
      </c>
      <c r="F33" s="307">
        <v>4</v>
      </c>
    </row>
    <row r="34" spans="1:6" s="307" customFormat="1" x14ac:dyDescent="0.2">
      <c r="A34" s="308" t="s">
        <v>601</v>
      </c>
      <c r="B34" s="307">
        <v>2</v>
      </c>
      <c r="C34" s="307">
        <v>2</v>
      </c>
      <c r="D34" s="307">
        <v>2</v>
      </c>
      <c r="E34" s="307">
        <v>2</v>
      </c>
      <c r="F34" s="307">
        <v>2</v>
      </c>
    </row>
    <row r="35" spans="1:6" s="307" customFormat="1" x14ac:dyDescent="0.2">
      <c r="A35" s="308" t="s">
        <v>600</v>
      </c>
      <c r="B35" s="307">
        <v>0.5</v>
      </c>
      <c r="C35" s="307">
        <v>0.5</v>
      </c>
      <c r="D35" s="307">
        <v>0.5</v>
      </c>
      <c r="E35" s="307">
        <v>0.5</v>
      </c>
      <c r="F35" s="307">
        <v>0.5</v>
      </c>
    </row>
    <row r="36" spans="1:6" s="307" customFormat="1" x14ac:dyDescent="0.2">
      <c r="A36" s="308" t="s">
        <v>599</v>
      </c>
    </row>
    <row r="37" spans="1:6" s="307" customFormat="1" x14ac:dyDescent="0.2">
      <c r="A37" s="308" t="s">
        <v>598</v>
      </c>
    </row>
    <row r="38" spans="1:6" s="307" customFormat="1" x14ac:dyDescent="0.2">
      <c r="A38" s="308" t="s">
        <v>597</v>
      </c>
    </row>
    <row r="39" spans="1:6" s="307" customFormat="1" x14ac:dyDescent="0.2">
      <c r="A39" s="308" t="s">
        <v>596</v>
      </c>
    </row>
    <row r="40" spans="1:6" s="307" customFormat="1" x14ac:dyDescent="0.2">
      <c r="A40" s="308" t="s">
        <v>595</v>
      </c>
    </row>
    <row r="41" spans="1:6" s="307" customFormat="1" x14ac:dyDescent="0.2">
      <c r="A41" s="308" t="s">
        <v>594</v>
      </c>
    </row>
    <row r="42" spans="1:6" s="307" customFormat="1" x14ac:dyDescent="0.2">
      <c r="A42" s="308" t="s">
        <v>593</v>
      </c>
    </row>
    <row r="43" spans="1:6" s="307" customFormat="1" x14ac:dyDescent="0.2">
      <c r="A43" s="308" t="s">
        <v>592</v>
      </c>
    </row>
    <row r="44" spans="1:6" s="307" customFormat="1" x14ac:dyDescent="0.2">
      <c r="A44" s="308" t="s">
        <v>591</v>
      </c>
    </row>
    <row r="45" spans="1:6" s="307" customFormat="1" x14ac:dyDescent="0.2">
      <c r="A45" s="308" t="s">
        <v>590</v>
      </c>
    </row>
    <row r="46" spans="1:6" s="307" customFormat="1" x14ac:dyDescent="0.2">
      <c r="A46" s="308" t="s">
        <v>589</v>
      </c>
    </row>
    <row r="47" spans="1:6" s="307" customFormat="1" x14ac:dyDescent="0.2">
      <c r="A47" s="308" t="s">
        <v>588</v>
      </c>
    </row>
    <row r="48" spans="1:6" s="307" customFormat="1" x14ac:dyDescent="0.2">
      <c r="A48" s="308" t="s">
        <v>587</v>
      </c>
    </row>
    <row r="49" spans="1:6" s="307" customFormat="1" x14ac:dyDescent="0.2">
      <c r="A49" s="308" t="s">
        <v>586</v>
      </c>
    </row>
    <row r="50" spans="1:6" s="307" customFormat="1" x14ac:dyDescent="0.2">
      <c r="A50" s="308" t="s">
        <v>585</v>
      </c>
    </row>
    <row r="51" spans="1:6" s="307" customFormat="1" x14ac:dyDescent="0.2">
      <c r="A51" s="308" t="s">
        <v>584</v>
      </c>
    </row>
    <row r="52" spans="1:6" s="307" customFormat="1" x14ac:dyDescent="0.2">
      <c r="A52" s="308" t="s">
        <v>583</v>
      </c>
    </row>
    <row r="53" spans="1:6" s="307" customFormat="1" x14ac:dyDescent="0.2">
      <c r="A53" s="308" t="s">
        <v>582</v>
      </c>
    </row>
    <row r="54" spans="1:6" s="307" customFormat="1" x14ac:dyDescent="0.2">
      <c r="A54" s="308" t="s">
        <v>581</v>
      </c>
    </row>
    <row r="55" spans="1:6" s="307" customFormat="1" x14ac:dyDescent="0.2">
      <c r="A55" s="308" t="s">
        <v>580</v>
      </c>
      <c r="B55" s="307" t="s">
        <v>579</v>
      </c>
      <c r="C55" s="307" t="s">
        <v>579</v>
      </c>
      <c r="D55" s="307" t="s">
        <v>579</v>
      </c>
      <c r="E55" s="307" t="s">
        <v>579</v>
      </c>
      <c r="F55" s="307" t="s">
        <v>579</v>
      </c>
    </row>
    <row r="56" spans="1:6" s="307" customFormat="1" x14ac:dyDescent="0.2">
      <c r="A56" s="308" t="s">
        <v>578</v>
      </c>
      <c r="B56" s="307">
        <v>2</v>
      </c>
      <c r="C56" s="307">
        <v>2</v>
      </c>
      <c r="D56" s="307">
        <v>2</v>
      </c>
      <c r="E56" s="307">
        <v>2</v>
      </c>
      <c r="F56" s="307">
        <v>2</v>
      </c>
    </row>
    <row r="57" spans="1:6" s="307" customFormat="1" x14ac:dyDescent="0.2">
      <c r="A57" s="308" t="s">
        <v>577</v>
      </c>
      <c r="B57" s="307" t="s">
        <v>1</v>
      </c>
      <c r="C57" s="307" t="s">
        <v>1</v>
      </c>
      <c r="D57" s="307" t="s">
        <v>1</v>
      </c>
      <c r="E57" s="307" t="s">
        <v>1</v>
      </c>
      <c r="F57" s="307" t="s">
        <v>1</v>
      </c>
    </row>
    <row r="58" spans="1:6" s="307" customFormat="1" x14ac:dyDescent="0.2">
      <c r="A58" s="308" t="s">
        <v>576</v>
      </c>
      <c r="B58" s="307" t="s">
        <v>68</v>
      </c>
      <c r="C58" s="307" t="s">
        <v>68</v>
      </c>
      <c r="D58" s="307" t="s">
        <v>68</v>
      </c>
      <c r="E58" s="307" t="s">
        <v>68</v>
      </c>
      <c r="F58" s="307" t="s">
        <v>68</v>
      </c>
    </row>
    <row r="59" spans="1:6" s="307" customFormat="1" x14ac:dyDescent="0.2">
      <c r="A59" s="308" t="s">
        <v>575</v>
      </c>
    </row>
    <row r="60" spans="1:6" s="307" customFormat="1" x14ac:dyDescent="0.2">
      <c r="A60" s="308" t="s">
        <v>574</v>
      </c>
    </row>
    <row r="61" spans="1:6" s="307" customFormat="1" x14ac:dyDescent="0.2">
      <c r="A61" s="308" t="s">
        <v>573</v>
      </c>
    </row>
    <row r="62" spans="1:6" s="307" customFormat="1" x14ac:dyDescent="0.2">
      <c r="A62" s="308" t="s">
        <v>572</v>
      </c>
      <c r="B62" s="307">
        <v>20.8</v>
      </c>
      <c r="C62" s="307">
        <v>20.8</v>
      </c>
      <c r="D62" s="307">
        <v>20.8</v>
      </c>
      <c r="E62" s="307">
        <v>20.8</v>
      </c>
      <c r="F62" s="307">
        <v>20.8</v>
      </c>
    </row>
    <row r="63" spans="1:6" s="307" customFormat="1" x14ac:dyDescent="0.2">
      <c r="A63" s="308" t="s">
        <v>571</v>
      </c>
      <c r="B63" s="307">
        <v>79.2</v>
      </c>
      <c r="C63" s="307">
        <v>79.2</v>
      </c>
      <c r="D63" s="307">
        <v>79.2</v>
      </c>
      <c r="E63" s="307">
        <v>79.2</v>
      </c>
      <c r="F63" s="307">
        <v>79.2</v>
      </c>
    </row>
    <row r="64" spans="1:6" s="307" customFormat="1" x14ac:dyDescent="0.2">
      <c r="A64" s="308" t="s">
        <v>570</v>
      </c>
    </row>
    <row r="65" spans="1:6" s="307" customFormat="1" x14ac:dyDescent="0.2">
      <c r="A65" s="308" t="s">
        <v>569</v>
      </c>
    </row>
    <row r="66" spans="1:6" s="307" customFormat="1" x14ac:dyDescent="0.2">
      <c r="A66" s="308" t="s">
        <v>568</v>
      </c>
    </row>
    <row r="67" spans="1:6" s="307" customFormat="1" x14ac:dyDescent="0.2">
      <c r="A67" s="308" t="s">
        <v>567</v>
      </c>
      <c r="B67" s="307">
        <v>723</v>
      </c>
      <c r="C67" s="307">
        <v>229.55144664602508</v>
      </c>
      <c r="D67" s="307">
        <v>229.55144664602508</v>
      </c>
      <c r="E67" s="307">
        <v>229.55144664602508</v>
      </c>
      <c r="F67" s="307">
        <v>229.55144664602508</v>
      </c>
    </row>
    <row r="68" spans="1:6" s="307" customFormat="1" x14ac:dyDescent="0.2">
      <c r="A68" s="308" t="s">
        <v>566</v>
      </c>
      <c r="B68" s="307">
        <v>0</v>
      </c>
      <c r="C68" s="307">
        <v>0.53324794393807062</v>
      </c>
      <c r="D68" s="307">
        <v>0.53324794393807062</v>
      </c>
      <c r="E68" s="307">
        <v>0.53324794393807062</v>
      </c>
      <c r="F68" s="307">
        <v>0.53324794393807062</v>
      </c>
    </row>
    <row r="69" spans="1:6" s="307" customFormat="1" x14ac:dyDescent="0.2">
      <c r="A69" s="308" t="s">
        <v>565</v>
      </c>
      <c r="B69" s="307">
        <v>0</v>
      </c>
      <c r="C69" s="307">
        <v>2.5698972800927065E-4</v>
      </c>
      <c r="D69" s="307">
        <v>2.5698972800927065E-4</v>
      </c>
      <c r="E69" s="307">
        <v>2.5698972800927065E-4</v>
      </c>
      <c r="F69" s="307">
        <v>2.5698972800927065E-4</v>
      </c>
    </row>
    <row r="70" spans="1:6" s="307" customFormat="1" x14ac:dyDescent="0.2">
      <c r="A70" s="308" t="s">
        <v>564</v>
      </c>
      <c r="B70" s="307">
        <v>0</v>
      </c>
      <c r="C70" s="307">
        <v>-6.5996334876542223E-8</v>
      </c>
      <c r="D70" s="307">
        <v>-6.5996334876542223E-8</v>
      </c>
      <c r="E70" s="307">
        <v>-6.5996334876542223E-8</v>
      </c>
      <c r="F70" s="307">
        <v>-6.5996334876542223E-8</v>
      </c>
    </row>
    <row r="71" spans="1:6" s="307" customFormat="1" x14ac:dyDescent="0.2">
      <c r="A71" s="308" t="s">
        <v>563</v>
      </c>
      <c r="B71" s="307">
        <v>293</v>
      </c>
      <c r="C71" s="307">
        <v>293</v>
      </c>
      <c r="D71" s="307">
        <v>293</v>
      </c>
      <c r="E71" s="307">
        <v>293</v>
      </c>
      <c r="F71" s="307">
        <v>293</v>
      </c>
    </row>
    <row r="72" spans="1:6" s="307" customFormat="1" x14ac:dyDescent="0.2">
      <c r="A72" s="308" t="s">
        <v>562</v>
      </c>
      <c r="B72" s="307">
        <v>0</v>
      </c>
      <c r="C72" s="307">
        <v>0</v>
      </c>
      <c r="D72" s="307">
        <v>0</v>
      </c>
      <c r="E72" s="307">
        <v>0</v>
      </c>
      <c r="F72" s="307">
        <v>0</v>
      </c>
    </row>
    <row r="73" spans="1:6" s="307" customFormat="1" x14ac:dyDescent="0.2">
      <c r="A73" s="308" t="s">
        <v>561</v>
      </c>
      <c r="B73" s="307">
        <v>0</v>
      </c>
      <c r="C73" s="307">
        <v>0</v>
      </c>
      <c r="D73" s="307">
        <v>0</v>
      </c>
      <c r="E73" s="307">
        <v>0</v>
      </c>
      <c r="F73" s="307">
        <v>0</v>
      </c>
    </row>
    <row r="74" spans="1:6" s="307" customFormat="1" x14ac:dyDescent="0.2">
      <c r="A74" s="308" t="s">
        <v>560</v>
      </c>
      <c r="B74" s="307">
        <v>0</v>
      </c>
      <c r="C74" s="307">
        <v>0</v>
      </c>
      <c r="D74" s="307">
        <v>0</v>
      </c>
      <c r="E74" s="307">
        <v>0</v>
      </c>
      <c r="F74" s="307">
        <v>0</v>
      </c>
    </row>
    <row r="75" spans="1:6" s="307" customFormat="1" x14ac:dyDescent="0.2">
      <c r="A75" s="308" t="s">
        <v>559</v>
      </c>
      <c r="B75" s="307">
        <v>0</v>
      </c>
      <c r="C75" s="307">
        <v>492.68864503198068</v>
      </c>
      <c r="D75" s="307">
        <v>492.68864503198068</v>
      </c>
      <c r="E75" s="307">
        <v>492.68864503198068</v>
      </c>
      <c r="F75" s="307">
        <v>492.68864503198068</v>
      </c>
    </row>
    <row r="76" spans="1:6" s="307" customFormat="1" x14ac:dyDescent="0.2">
      <c r="A76" s="308" t="s">
        <v>558</v>
      </c>
      <c r="B76" s="307">
        <v>0</v>
      </c>
      <c r="C76" s="307">
        <v>0.51320725902415709</v>
      </c>
      <c r="D76" s="307">
        <v>0.51320725902415709</v>
      </c>
      <c r="E76" s="307">
        <v>0.51320725902415709</v>
      </c>
      <c r="F76" s="307">
        <v>0.51320725902415709</v>
      </c>
    </row>
    <row r="77" spans="1:6" s="307" customFormat="1" x14ac:dyDescent="0.2">
      <c r="A77" s="308" t="s">
        <v>557</v>
      </c>
      <c r="B77" s="307">
        <v>0</v>
      </c>
      <c r="C77" s="307">
        <v>-3.457395652488433E-4</v>
      </c>
      <c r="D77" s="307">
        <v>-3.457395652488433E-4</v>
      </c>
      <c r="E77" s="307">
        <v>-3.457395652488433E-4</v>
      </c>
      <c r="F77" s="307">
        <v>-3.457395652488433E-4</v>
      </c>
    </row>
    <row r="78" spans="1:6" s="307" customFormat="1" x14ac:dyDescent="0.2">
      <c r="A78" s="308" t="s">
        <v>556</v>
      </c>
      <c r="B78" s="307">
        <v>0</v>
      </c>
      <c r="C78" s="307">
        <v>9.9796248070986683E-8</v>
      </c>
      <c r="D78" s="307">
        <v>9.9796248070986683E-8</v>
      </c>
      <c r="E78" s="307">
        <v>9.9796248070986683E-8</v>
      </c>
      <c r="F78" s="307">
        <v>9.9796248070986683E-8</v>
      </c>
    </row>
    <row r="79" spans="1:6" s="307" customFormat="1" x14ac:dyDescent="0.2">
      <c r="A79" s="308" t="s">
        <v>555</v>
      </c>
      <c r="B79" s="307">
        <v>0</v>
      </c>
      <c r="C79" s="307">
        <v>0</v>
      </c>
      <c r="D79" s="307">
        <v>0</v>
      </c>
      <c r="E79" s="307">
        <v>0</v>
      </c>
      <c r="F79" s="307">
        <v>0</v>
      </c>
    </row>
    <row r="80" spans="1:6" s="307" customFormat="1" x14ac:dyDescent="0.2">
      <c r="A80" s="308" t="s">
        <v>554</v>
      </c>
      <c r="B80" s="307">
        <v>0</v>
      </c>
      <c r="C80" s="307">
        <v>0</v>
      </c>
      <c r="D80" s="307">
        <v>0</v>
      </c>
      <c r="E80" s="307">
        <v>0</v>
      </c>
      <c r="F80" s="307">
        <v>0</v>
      </c>
    </row>
    <row r="81" spans="1:6" s="307" customFormat="1" x14ac:dyDescent="0.2">
      <c r="A81" s="308" t="s">
        <v>553</v>
      </c>
      <c r="B81" s="307">
        <v>0</v>
      </c>
      <c r="C81" s="307">
        <v>0</v>
      </c>
      <c r="D81" s="307">
        <v>0</v>
      </c>
      <c r="E81" s="307">
        <v>0</v>
      </c>
      <c r="F81" s="307">
        <v>0</v>
      </c>
    </row>
    <row r="82" spans="1:6" s="307" customFormat="1" x14ac:dyDescent="0.2">
      <c r="A82" s="308" t="s">
        <v>552</v>
      </c>
      <c r="B82" s="307">
        <v>0</v>
      </c>
      <c r="C82" s="307">
        <v>0</v>
      </c>
      <c r="D82" s="307">
        <v>0</v>
      </c>
      <c r="E82" s="307">
        <v>0</v>
      </c>
      <c r="F82" s="307">
        <v>0</v>
      </c>
    </row>
    <row r="83" spans="1:6" s="307" customFormat="1" x14ac:dyDescent="0.2">
      <c r="A83" s="308" t="s">
        <v>551</v>
      </c>
      <c r="B83" s="307">
        <v>0</v>
      </c>
      <c r="C83" s="307">
        <v>228.30352569014983</v>
      </c>
      <c r="D83" s="307">
        <v>228.30352569014983</v>
      </c>
      <c r="E83" s="307">
        <v>228.30352569014983</v>
      </c>
      <c r="F83" s="307">
        <v>228.30352569014983</v>
      </c>
    </row>
    <row r="84" spans="1:6" s="307" customFormat="1" x14ac:dyDescent="0.2">
      <c r="A84" s="308" t="s">
        <v>550</v>
      </c>
      <c r="B84" s="307">
        <v>0</v>
      </c>
      <c r="C84" s="307">
        <v>0.43269726223415578</v>
      </c>
      <c r="D84" s="307">
        <v>0.43269726223415578</v>
      </c>
      <c r="E84" s="307">
        <v>0.43269726223415578</v>
      </c>
      <c r="F84" s="307">
        <v>0.43269726223415578</v>
      </c>
    </row>
    <row r="85" spans="1:6" s="307" customFormat="1" x14ac:dyDescent="0.2">
      <c r="A85" s="308" t="s">
        <v>549</v>
      </c>
      <c r="B85" s="307">
        <v>0</v>
      </c>
      <c r="C85" s="307">
        <v>2.7379353841147137E-4</v>
      </c>
      <c r="D85" s="307">
        <v>2.7379353841147137E-4</v>
      </c>
      <c r="E85" s="307">
        <v>2.7379353841147137E-4</v>
      </c>
      <c r="F85" s="307">
        <v>2.7379353841147137E-4</v>
      </c>
    </row>
    <row r="86" spans="1:6" s="307" customFormat="1" x14ac:dyDescent="0.2">
      <c r="A86" s="308" t="s">
        <v>548</v>
      </c>
      <c r="B86" s="307">
        <v>0</v>
      </c>
      <c r="C86" s="307">
        <v>-7.3468243634257756E-8</v>
      </c>
      <c r="D86" s="307">
        <v>-7.3468243634257756E-8</v>
      </c>
      <c r="E86" s="307">
        <v>-7.3468243634257756E-8</v>
      </c>
      <c r="F86" s="307">
        <v>-7.3468243634257756E-8</v>
      </c>
    </row>
    <row r="87" spans="1:6" s="307" customFormat="1" x14ac:dyDescent="0.2">
      <c r="A87" s="308" t="s">
        <v>547</v>
      </c>
      <c r="B87" s="307">
        <v>0</v>
      </c>
      <c r="C87" s="307">
        <v>309.62109375</v>
      </c>
      <c r="D87" s="307">
        <v>309.62109375</v>
      </c>
      <c r="E87" s="307">
        <v>309.62109375</v>
      </c>
      <c r="F87" s="307">
        <v>309.62109375</v>
      </c>
    </row>
    <row r="88" spans="1:6" s="307" customFormat="1" x14ac:dyDescent="0.2">
      <c r="A88" s="308" t="s">
        <v>546</v>
      </c>
      <c r="B88" s="307">
        <v>0</v>
      </c>
      <c r="C88" s="307">
        <v>0</v>
      </c>
      <c r="D88" s="307">
        <v>0</v>
      </c>
      <c r="E88" s="307">
        <v>0</v>
      </c>
      <c r="F88" s="307">
        <v>0</v>
      </c>
    </row>
    <row r="89" spans="1:6" s="307" customFormat="1" x14ac:dyDescent="0.2">
      <c r="A89" s="308" t="s">
        <v>545</v>
      </c>
      <c r="B89" s="307">
        <v>0</v>
      </c>
      <c r="C89" s="307">
        <v>0</v>
      </c>
      <c r="D89" s="307">
        <v>0</v>
      </c>
      <c r="E89" s="307">
        <v>0</v>
      </c>
      <c r="F89" s="307">
        <v>0</v>
      </c>
    </row>
    <row r="90" spans="1:6" s="307" customFormat="1" x14ac:dyDescent="0.2">
      <c r="A90" s="308" t="s">
        <v>544</v>
      </c>
      <c r="B90" s="307">
        <v>0</v>
      </c>
      <c r="C90" s="307">
        <v>0</v>
      </c>
      <c r="D90" s="307">
        <v>0</v>
      </c>
      <c r="E90" s="307">
        <v>0</v>
      </c>
      <c r="F90" s="307">
        <v>0</v>
      </c>
    </row>
    <row r="91" spans="1:6" s="307" customFormat="1" x14ac:dyDescent="0.2">
      <c r="A91" s="308" t="s">
        <v>543</v>
      </c>
      <c r="B91" s="307">
        <v>293</v>
      </c>
      <c r="C91" s="307">
        <v>293</v>
      </c>
      <c r="D91" s="307">
        <v>293</v>
      </c>
      <c r="E91" s="307">
        <v>293</v>
      </c>
      <c r="F91" s="307">
        <v>293</v>
      </c>
    </row>
    <row r="92" spans="1:6" s="307" customFormat="1" x14ac:dyDescent="0.2">
      <c r="A92" s="308" t="s">
        <v>542</v>
      </c>
      <c r="B92" s="307">
        <v>723</v>
      </c>
      <c r="C92" s="307">
        <v>723</v>
      </c>
      <c r="D92" s="307">
        <v>723</v>
      </c>
      <c r="E92" s="307">
        <v>723</v>
      </c>
      <c r="F92" s="307">
        <v>723</v>
      </c>
    </row>
    <row r="93" spans="1:6" s="307" customFormat="1" x14ac:dyDescent="0.2">
      <c r="A93" s="308" t="s">
        <v>541</v>
      </c>
      <c r="B93" s="307">
        <v>0</v>
      </c>
      <c r="C93" s="307">
        <v>968.23355177213796</v>
      </c>
      <c r="D93" s="307">
        <v>968.23355177213796</v>
      </c>
      <c r="E93" s="307">
        <v>968.23355177213796</v>
      </c>
      <c r="F93" s="307">
        <v>484.11677588606898</v>
      </c>
    </row>
    <row r="94" spans="1:6" s="307" customFormat="1" x14ac:dyDescent="0.2">
      <c r="A94" s="308" t="s">
        <v>540</v>
      </c>
      <c r="B94" s="307">
        <v>0</v>
      </c>
      <c r="C94" s="307">
        <v>10612.165575252557</v>
      </c>
      <c r="D94" s="307">
        <v>10612.165575252557</v>
      </c>
      <c r="E94" s="307">
        <v>10612.165575252557</v>
      </c>
      <c r="F94" s="307">
        <v>5306.0827876262783</v>
      </c>
    </row>
    <row r="95" spans="1:6" s="307" customFormat="1" x14ac:dyDescent="0.2">
      <c r="A95" s="308" t="s">
        <v>539</v>
      </c>
      <c r="B95" s="307">
        <v>0</v>
      </c>
      <c r="C95" s="307">
        <v>4.0068486982477731</v>
      </c>
      <c r="D95" s="307">
        <v>4.0068486982477731</v>
      </c>
      <c r="E95" s="307">
        <v>4.0068486982477731</v>
      </c>
      <c r="F95" s="307">
        <v>2.0034243491238866</v>
      </c>
    </row>
    <row r="96" spans="1:6" s="307" customFormat="1" x14ac:dyDescent="0.2">
      <c r="A96" s="308" t="s">
        <v>538</v>
      </c>
      <c r="B96" s="307">
        <v>0</v>
      </c>
      <c r="C96" s="307">
        <v>0</v>
      </c>
      <c r="D96" s="307">
        <v>0</v>
      </c>
      <c r="E96" s="307">
        <v>0</v>
      </c>
      <c r="F96" s="307">
        <v>0</v>
      </c>
    </row>
    <row r="97" spans="1:6" s="307" customFormat="1" x14ac:dyDescent="0.2">
      <c r="A97" s="308" t="s">
        <v>537</v>
      </c>
      <c r="B97" s="307">
        <v>0</v>
      </c>
      <c r="C97" s="307">
        <v>0</v>
      </c>
      <c r="D97" s="307">
        <v>0</v>
      </c>
      <c r="E97" s="307">
        <v>0</v>
      </c>
      <c r="F97" s="307">
        <v>0</v>
      </c>
    </row>
    <row r="98" spans="1:6" s="307" customFormat="1" x14ac:dyDescent="0.2">
      <c r="A98" s="308" t="s">
        <v>536</v>
      </c>
      <c r="B98" s="307">
        <v>0</v>
      </c>
      <c r="C98" s="307">
        <v>88</v>
      </c>
      <c r="D98" s="307">
        <v>88</v>
      </c>
      <c r="E98" s="307">
        <v>88</v>
      </c>
      <c r="F98" s="307">
        <v>88</v>
      </c>
    </row>
    <row r="99" spans="1:6" s="307" customFormat="1" x14ac:dyDescent="0.2">
      <c r="A99" s="308" t="s">
        <v>535</v>
      </c>
      <c r="B99" s="307">
        <v>0</v>
      </c>
      <c r="C99" s="307">
        <v>80</v>
      </c>
      <c r="D99" s="307">
        <v>80</v>
      </c>
      <c r="E99" s="307">
        <v>80</v>
      </c>
      <c r="F99" s="307">
        <v>80</v>
      </c>
    </row>
    <row r="100" spans="1:6" s="307" customFormat="1" x14ac:dyDescent="0.2">
      <c r="A100" s="308" t="s">
        <v>534</v>
      </c>
      <c r="B100" s="307">
        <v>-100</v>
      </c>
      <c r="C100" s="307">
        <v>10.000000000000009</v>
      </c>
      <c r="D100" s="307">
        <v>10.000000000000009</v>
      </c>
      <c r="E100" s="307">
        <v>10.000000000000009</v>
      </c>
      <c r="F100" s="307">
        <v>10.000000000000009</v>
      </c>
    </row>
    <row r="101" spans="1:6" s="307" customFormat="1" x14ac:dyDescent="0.2">
      <c r="A101" s="308" t="s">
        <v>533</v>
      </c>
      <c r="B101" s="307">
        <v>0</v>
      </c>
      <c r="C101" s="307">
        <v>0</v>
      </c>
      <c r="D101" s="307">
        <v>0</v>
      </c>
      <c r="E101" s="307">
        <v>0</v>
      </c>
      <c r="F101" s="307">
        <v>0</v>
      </c>
    </row>
    <row r="102" spans="1:6" s="307" customFormat="1" x14ac:dyDescent="0.2">
      <c r="A102" s="308" t="s">
        <v>532</v>
      </c>
      <c r="B102" s="307">
        <v>0</v>
      </c>
      <c r="C102" s="307">
        <v>0</v>
      </c>
      <c r="D102" s="307">
        <v>0</v>
      </c>
      <c r="E102" s="307">
        <v>0</v>
      </c>
      <c r="F102" s="307">
        <v>0</v>
      </c>
    </row>
    <row r="103" spans="1:6" s="307" customFormat="1" x14ac:dyDescent="0.2">
      <c r="A103" s="308" t="s">
        <v>531</v>
      </c>
      <c r="B103" s="307">
        <v>0</v>
      </c>
      <c r="C103" s="307">
        <v>0.2135268569056078</v>
      </c>
      <c r="D103" s="307">
        <v>0.2135268569056078</v>
      </c>
      <c r="E103" s="307">
        <v>0.2135268569056078</v>
      </c>
      <c r="F103" s="307">
        <v>0.1067634284528039</v>
      </c>
    </row>
    <row r="104" spans="1:6" s="307" customFormat="1" x14ac:dyDescent="0.2">
      <c r="A104" s="308" t="s">
        <v>530</v>
      </c>
      <c r="B104" s="307">
        <v>0</v>
      </c>
      <c r="C104" s="307">
        <v>3.7933091217884014</v>
      </c>
      <c r="D104" s="307">
        <v>3.7933091217884014</v>
      </c>
      <c r="E104" s="307">
        <v>3.7933091217884014</v>
      </c>
      <c r="F104" s="307">
        <v>1.8966545608942007</v>
      </c>
    </row>
    <row r="105" spans="1:6" s="307" customFormat="1" x14ac:dyDescent="0.2">
      <c r="A105" s="308" t="s">
        <v>529</v>
      </c>
      <c r="B105" s="307">
        <v>0</v>
      </c>
      <c r="C105" s="307">
        <v>0</v>
      </c>
      <c r="D105" s="307">
        <v>0</v>
      </c>
      <c r="E105" s="307">
        <v>0</v>
      </c>
      <c r="F105" s="307">
        <v>0</v>
      </c>
    </row>
    <row r="106" spans="1:6" s="307" customFormat="1" x14ac:dyDescent="0.2">
      <c r="A106" s="308" t="s">
        <v>528</v>
      </c>
      <c r="B106" s="307">
        <v>0</v>
      </c>
      <c r="C106" s="307">
        <v>0.80136973964955471</v>
      </c>
      <c r="D106" s="307">
        <v>0.80136973964955471</v>
      </c>
      <c r="E106" s="307">
        <v>0.80136973964955471</v>
      </c>
      <c r="F106" s="307">
        <v>0.40068486982477736</v>
      </c>
    </row>
    <row r="107" spans="1:6" s="307" customFormat="1" x14ac:dyDescent="0.2">
      <c r="A107" s="308" t="s">
        <v>527</v>
      </c>
      <c r="B107" s="307">
        <v>0</v>
      </c>
      <c r="C107" s="307">
        <v>2325.2780441467744</v>
      </c>
      <c r="D107" s="307">
        <v>2325.2780441467744</v>
      </c>
      <c r="E107" s="307">
        <v>2325.2780441467744</v>
      </c>
      <c r="F107" s="307">
        <v>1162.6390220733872</v>
      </c>
    </row>
    <row r="108" spans="1:6" s="307" customFormat="1" x14ac:dyDescent="0.2">
      <c r="A108" s="308" t="s">
        <v>526</v>
      </c>
      <c r="B108" s="307">
        <v>0</v>
      </c>
      <c r="C108" s="307">
        <v>3.2054789585982189</v>
      </c>
      <c r="D108" s="307">
        <v>3.2054789585982189</v>
      </c>
      <c r="E108" s="307">
        <v>3.2054789585982189</v>
      </c>
      <c r="F108" s="307">
        <v>1.6027394792991094</v>
      </c>
    </row>
    <row r="109" spans="1:6" s="307" customFormat="1" x14ac:dyDescent="0.2">
      <c r="A109" s="308" t="s">
        <v>525</v>
      </c>
      <c r="B109" s="307">
        <v>0</v>
      </c>
      <c r="C109" s="307">
        <v>0</v>
      </c>
      <c r="D109" s="307">
        <v>0</v>
      </c>
      <c r="E109" s="307">
        <v>0</v>
      </c>
      <c r="F109" s="307">
        <v>0</v>
      </c>
    </row>
    <row r="110" spans="1:6" s="307" customFormat="1" x14ac:dyDescent="0.2">
      <c r="A110" s="308" t="s">
        <v>524</v>
      </c>
      <c r="B110" s="307">
        <v>1619.8587774313462</v>
      </c>
      <c r="C110" s="307">
        <v>1022.840535577735</v>
      </c>
      <c r="D110" s="307">
        <v>1022.840535577735</v>
      </c>
      <c r="E110" s="307">
        <v>1022.840535577735</v>
      </c>
      <c r="F110" s="307">
        <v>1022.840535577735</v>
      </c>
    </row>
    <row r="111" spans="1:6" s="307" customFormat="1" x14ac:dyDescent="0.2">
      <c r="A111" s="308" t="s">
        <v>523</v>
      </c>
      <c r="B111" s="307">
        <v>3.9429840232772189</v>
      </c>
      <c r="C111" s="307">
        <v>0.28566289742081002</v>
      </c>
      <c r="D111" s="307">
        <v>0.28566289742081002</v>
      </c>
      <c r="E111" s="307">
        <v>0.28566289742081002</v>
      </c>
      <c r="F111" s="307">
        <v>0.28566289742081002</v>
      </c>
    </row>
    <row r="112" spans="1:6" s="307" customFormat="1" x14ac:dyDescent="0.2">
      <c r="A112" s="308" t="s">
        <v>522</v>
      </c>
      <c r="B112" s="307">
        <v>-2.2467048228787239E-3</v>
      </c>
      <c r="C112" s="307">
        <v>-2.7690888607053121E-5</v>
      </c>
      <c r="D112" s="307">
        <v>-2.7690888607053121E-5</v>
      </c>
      <c r="E112" s="307">
        <v>-2.7690888607053121E-5</v>
      </c>
      <c r="F112" s="307">
        <v>-2.7690888607053121E-5</v>
      </c>
    </row>
    <row r="113" spans="1:6" s="307" customFormat="1" x14ac:dyDescent="0.2">
      <c r="A113" s="308" t="s">
        <v>521</v>
      </c>
      <c r="B113" s="307">
        <v>6.2176905511367923E-7</v>
      </c>
      <c r="C113" s="307">
        <v>3.4709698996469134E-9</v>
      </c>
      <c r="D113" s="307">
        <v>3.4709698996469134E-9</v>
      </c>
      <c r="E113" s="307">
        <v>3.4709698996469134E-9</v>
      </c>
      <c r="F113" s="307">
        <v>3.4709698996469134E-9</v>
      </c>
    </row>
    <row r="114" spans="1:6" s="307" customFormat="1" x14ac:dyDescent="0.2">
      <c r="A114" s="308" t="s">
        <v>520</v>
      </c>
      <c r="B114" s="307">
        <v>0.75796075226403026</v>
      </c>
      <c r="C114" s="307">
        <v>1.2406821928243761</v>
      </c>
      <c r="D114" s="307">
        <v>1.2406821928243761</v>
      </c>
      <c r="E114" s="307">
        <v>1.2406821928243761</v>
      </c>
      <c r="F114" s="307">
        <v>1.2406821928243761</v>
      </c>
    </row>
    <row r="115" spans="1:6" s="307" customFormat="1" x14ac:dyDescent="0.2">
      <c r="A115" s="308" t="s">
        <v>519</v>
      </c>
      <c r="B115" s="307">
        <v>5</v>
      </c>
      <c r="C115" s="307">
        <v>5</v>
      </c>
      <c r="D115" s="307">
        <v>5</v>
      </c>
      <c r="E115" s="307">
        <v>5</v>
      </c>
      <c r="F115" s="307">
        <v>5</v>
      </c>
    </row>
    <row r="116" spans="1:6" s="307" customFormat="1" x14ac:dyDescent="0.2">
      <c r="A116" s="308" t="s">
        <v>518</v>
      </c>
      <c r="B116" s="307" t="s">
        <v>3</v>
      </c>
      <c r="C116" s="307" t="s">
        <v>3</v>
      </c>
      <c r="D116" s="307" t="s">
        <v>3</v>
      </c>
      <c r="E116" s="307" t="s">
        <v>3</v>
      </c>
      <c r="F116" s="307" t="s">
        <v>3</v>
      </c>
    </row>
    <row r="117" spans="1:6" s="307" customFormat="1" x14ac:dyDescent="0.2">
      <c r="A117" s="308" t="s">
        <v>517</v>
      </c>
      <c r="B117" s="307" t="s">
        <v>5</v>
      </c>
      <c r="C117" s="307" t="s">
        <v>5</v>
      </c>
      <c r="D117" s="307" t="s">
        <v>5</v>
      </c>
      <c r="E117" s="307" t="s">
        <v>5</v>
      </c>
      <c r="F117" s="307" t="s">
        <v>5</v>
      </c>
    </row>
    <row r="118" spans="1:6" s="307" customFormat="1" x14ac:dyDescent="0.2">
      <c r="A118" s="308" t="s">
        <v>516</v>
      </c>
      <c r="B118" s="307" t="s">
        <v>1</v>
      </c>
      <c r="C118" s="307" t="s">
        <v>1</v>
      </c>
      <c r="D118" s="307" t="s">
        <v>1</v>
      </c>
      <c r="E118" s="307" t="s">
        <v>1</v>
      </c>
      <c r="F118" s="307" t="s">
        <v>1</v>
      </c>
    </row>
    <row r="119" spans="1:6" s="307" customFormat="1" x14ac:dyDescent="0.2">
      <c r="A119" s="308" t="s">
        <v>515</v>
      </c>
      <c r="B119" s="307" t="s">
        <v>68</v>
      </c>
      <c r="C119" s="307" t="s">
        <v>68</v>
      </c>
      <c r="D119" s="307" t="s">
        <v>68</v>
      </c>
      <c r="E119" s="307" t="s">
        <v>68</v>
      </c>
      <c r="F119" s="307" t="s">
        <v>68</v>
      </c>
    </row>
    <row r="120" spans="1:6" s="307" customFormat="1" x14ac:dyDescent="0.2">
      <c r="A120" s="308" t="s">
        <v>514</v>
      </c>
      <c r="B120" s="307" t="s">
        <v>7</v>
      </c>
      <c r="C120" s="307" t="s">
        <v>7</v>
      </c>
      <c r="D120" s="307" t="s">
        <v>7</v>
      </c>
      <c r="E120" s="307" t="s">
        <v>7</v>
      </c>
      <c r="F120" s="307" t="s">
        <v>7</v>
      </c>
    </row>
    <row r="121" spans="1:6" s="307" customFormat="1" x14ac:dyDescent="0.2">
      <c r="A121" s="308" t="s">
        <v>513</v>
      </c>
      <c r="B121" s="307">
        <v>101.19331742243425</v>
      </c>
      <c r="C121" s="307">
        <v>8.8275685349711512</v>
      </c>
      <c r="D121" s="307">
        <v>8.8275685349711512</v>
      </c>
      <c r="E121" s="307">
        <v>8.8275685349711512</v>
      </c>
      <c r="F121" s="307">
        <v>8.8275685349711512</v>
      </c>
    </row>
    <row r="122" spans="1:6" s="307" customFormat="1" x14ac:dyDescent="0.2">
      <c r="A122" s="308" t="s">
        <v>512</v>
      </c>
      <c r="B122" s="307">
        <v>193.31742243436733</v>
      </c>
      <c r="C122" s="307">
        <v>16.863987059732622</v>
      </c>
      <c r="D122" s="307">
        <v>16.863987059732622</v>
      </c>
      <c r="E122" s="307">
        <v>16.863987059732622</v>
      </c>
      <c r="F122" s="307">
        <v>16.863987059732622</v>
      </c>
    </row>
    <row r="123" spans="1:6" s="307" customFormat="1" x14ac:dyDescent="0.2">
      <c r="A123" s="308" t="s">
        <v>511</v>
      </c>
      <c r="B123" s="307">
        <v>-197.85202863961794</v>
      </c>
      <c r="C123" s="307">
        <v>1.7259562064837481</v>
      </c>
      <c r="D123" s="307">
        <v>1.7259562064837481</v>
      </c>
      <c r="E123" s="307">
        <v>1.7259562064837481</v>
      </c>
      <c r="F123" s="307">
        <v>1.7259562064837481</v>
      </c>
    </row>
    <row r="124" spans="1:6" s="307" customFormat="1" x14ac:dyDescent="0.2">
      <c r="A124" s="308" t="s">
        <v>510</v>
      </c>
      <c r="B124" s="307">
        <v>3.3412887828162097</v>
      </c>
      <c r="C124" s="307">
        <v>72.58248819881247</v>
      </c>
      <c r="D124" s="307">
        <v>72.58248819881247</v>
      </c>
      <c r="E124" s="307">
        <v>72.58248819881247</v>
      </c>
      <c r="F124" s="307">
        <v>72.58248819881247</v>
      </c>
    </row>
    <row r="125" spans="1:6" s="307" customFormat="1" x14ac:dyDescent="0.2">
      <c r="A125" s="308" t="s">
        <v>509</v>
      </c>
      <c r="B125" s="307">
        <v>0</v>
      </c>
      <c r="C125" s="307">
        <v>0</v>
      </c>
      <c r="D125" s="307">
        <v>0</v>
      </c>
      <c r="E125" s="307">
        <v>0</v>
      </c>
      <c r="F125" s="307">
        <v>0</v>
      </c>
    </row>
    <row r="126" spans="1:6" s="307" customFormat="1" x14ac:dyDescent="0.2">
      <c r="A126" s="308" t="s">
        <v>508</v>
      </c>
      <c r="B126" s="307">
        <v>-271631.99384240847</v>
      </c>
      <c r="C126" s="307">
        <v>-271631.99384240847</v>
      </c>
      <c r="D126" s="307">
        <v>-271631.99384240847</v>
      </c>
      <c r="E126" s="307">
        <v>-271631.99384240847</v>
      </c>
      <c r="F126" s="307">
        <v>-271631.99384240847</v>
      </c>
    </row>
    <row r="127" spans="1:6" s="307" customFormat="1" x14ac:dyDescent="0.2">
      <c r="A127" s="308" t="s">
        <v>507</v>
      </c>
      <c r="B127" s="307">
        <v>975.27917688823572</v>
      </c>
      <c r="C127" s="307">
        <v>975.27917688823572</v>
      </c>
      <c r="D127" s="307">
        <v>975.27917688823572</v>
      </c>
      <c r="E127" s="307">
        <v>975.27917688823572</v>
      </c>
      <c r="F127" s="307">
        <v>975.27917688823572</v>
      </c>
    </row>
    <row r="128" spans="1:6" s="307" customFormat="1" x14ac:dyDescent="0.2">
      <c r="A128" s="308" t="s">
        <v>506</v>
      </c>
      <c r="B128" s="307">
        <v>7.0598240044431215E-2</v>
      </c>
      <c r="C128" s="307">
        <v>7.0598240044431215E-2</v>
      </c>
      <c r="D128" s="307">
        <v>7.0598240044431215E-2</v>
      </c>
      <c r="E128" s="307">
        <v>7.0598240044431215E-2</v>
      </c>
      <c r="F128" s="307">
        <v>7.0598240044431215E-2</v>
      </c>
    </row>
    <row r="129" spans="1:6" s="307" customFormat="1" x14ac:dyDescent="0.2">
      <c r="A129" s="308" t="s">
        <v>505</v>
      </c>
      <c r="B129" s="307">
        <v>5.8566734206142411E-6</v>
      </c>
      <c r="C129" s="307">
        <v>5.8566734206142411E-6</v>
      </c>
      <c r="D129" s="307">
        <v>5.8566734206142411E-6</v>
      </c>
      <c r="E129" s="307">
        <v>5.8566734206142411E-6</v>
      </c>
      <c r="F129" s="307">
        <v>5.8566734206142411E-6</v>
      </c>
    </row>
    <row r="130" spans="1:6" s="307" customFormat="1" x14ac:dyDescent="0.2">
      <c r="A130" s="308" t="s">
        <v>504</v>
      </c>
      <c r="B130" s="307">
        <v>-393295.90714372526</v>
      </c>
      <c r="C130" s="307">
        <v>-393295.90714372526</v>
      </c>
      <c r="D130" s="307">
        <v>-393295.90714372526</v>
      </c>
      <c r="E130" s="307">
        <v>-393295.90714372526</v>
      </c>
      <c r="F130" s="307">
        <v>-393295.90714372526</v>
      </c>
    </row>
    <row r="131" spans="1:6" s="307" customFormat="1" x14ac:dyDescent="0.2">
      <c r="A131" s="308" t="s">
        <v>503</v>
      </c>
      <c r="B131" s="307">
        <v>858.80385865054177</v>
      </c>
      <c r="C131" s="307">
        <v>858.80385865054177</v>
      </c>
      <c r="D131" s="307">
        <v>858.80385865054177</v>
      </c>
      <c r="E131" s="307">
        <v>858.80385865054177</v>
      </c>
      <c r="F131" s="307">
        <v>858.80385865054177</v>
      </c>
    </row>
    <row r="132" spans="1:6" s="307" customFormat="1" x14ac:dyDescent="0.2">
      <c r="A132" s="308" t="s">
        <v>502</v>
      </c>
      <c r="B132" s="307">
        <v>2.2301380522390613</v>
      </c>
      <c r="C132" s="307">
        <v>2.2301380522390613</v>
      </c>
      <c r="D132" s="307">
        <v>2.2301380522390613</v>
      </c>
      <c r="E132" s="307">
        <v>2.2301380522390613</v>
      </c>
      <c r="F132" s="307">
        <v>2.2301380522390613</v>
      </c>
    </row>
    <row r="133" spans="1:6" s="307" customFormat="1" x14ac:dyDescent="0.2">
      <c r="A133" s="308" t="s">
        <v>501</v>
      </c>
      <c r="B133" s="307">
        <v>-3.6210332085484347E-4</v>
      </c>
      <c r="C133" s="307">
        <v>-3.6210332085484347E-4</v>
      </c>
      <c r="D133" s="307">
        <v>-3.6210332085484347E-4</v>
      </c>
      <c r="E133" s="307">
        <v>-3.6210332085484347E-4</v>
      </c>
      <c r="F133" s="307">
        <v>-3.6210332085484347E-4</v>
      </c>
    </row>
    <row r="134" spans="1:6" s="307" customFormat="1" x14ac:dyDescent="0.2">
      <c r="A134" s="308" t="s">
        <v>500</v>
      </c>
      <c r="B134" s="307">
        <v>0</v>
      </c>
      <c r="C134" s="307">
        <v>3.7933091217884014</v>
      </c>
      <c r="D134" s="307">
        <v>3.7933091217884014</v>
      </c>
      <c r="E134" s="307">
        <v>3.7933091217884014</v>
      </c>
      <c r="F134" s="307">
        <v>1.8966545608942007</v>
      </c>
    </row>
    <row r="135" spans="1:6" s="307" customFormat="1" x14ac:dyDescent="0.2">
      <c r="A135" s="308" t="s">
        <v>499</v>
      </c>
      <c r="B135" s="307">
        <v>0</v>
      </c>
      <c r="C135" s="307">
        <v>0.2135268569056078</v>
      </c>
      <c r="D135" s="307">
        <v>0.2135268569056078</v>
      </c>
      <c r="E135" s="307">
        <v>0.2135268569056078</v>
      </c>
      <c r="F135" s="307">
        <v>0.1067634284528039</v>
      </c>
    </row>
    <row r="136" spans="1:6" s="307" customFormat="1" x14ac:dyDescent="0.2">
      <c r="A136" s="308" t="s">
        <v>498</v>
      </c>
      <c r="B136" s="307">
        <v>723</v>
      </c>
      <c r="C136" s="307">
        <v>723</v>
      </c>
      <c r="D136" s="307">
        <v>723</v>
      </c>
      <c r="E136" s="307">
        <v>723</v>
      </c>
      <c r="F136" s="307">
        <v>723</v>
      </c>
    </row>
    <row r="137" spans="1:6" s="307" customFormat="1" x14ac:dyDescent="0.2">
      <c r="A137" s="308" t="s">
        <v>497</v>
      </c>
      <c r="B137" s="307">
        <v>293</v>
      </c>
      <c r="C137" s="307">
        <v>293</v>
      </c>
      <c r="D137" s="307">
        <v>293</v>
      </c>
      <c r="E137" s="307">
        <v>293</v>
      </c>
      <c r="F137" s="307">
        <v>293</v>
      </c>
    </row>
    <row r="138" spans="1:6" s="307" customFormat="1" x14ac:dyDescent="0.2">
      <c r="A138" s="308" t="s">
        <v>496</v>
      </c>
      <c r="B138" s="307">
        <v>-573013.10298551666</v>
      </c>
      <c r="C138" s="307">
        <v>-287693.6920112014</v>
      </c>
      <c r="D138" s="307">
        <v>-287693.6920112014</v>
      </c>
      <c r="E138" s="307">
        <v>-287693.6920112014</v>
      </c>
      <c r="F138" s="307">
        <v>-287693.6920112014</v>
      </c>
    </row>
    <row r="139" spans="1:6" s="307" customFormat="1" x14ac:dyDescent="0.2">
      <c r="A139" s="308" t="s">
        <v>495</v>
      </c>
      <c r="B139" s="307">
        <v>1675.2763672837548</v>
      </c>
      <c r="C139" s="307">
        <v>1012.5845794169584</v>
      </c>
      <c r="D139" s="307">
        <v>1012.5845794169584</v>
      </c>
      <c r="E139" s="307">
        <v>1012.5845794169584</v>
      </c>
      <c r="F139" s="307">
        <v>1012.5845794169584</v>
      </c>
    </row>
    <row r="140" spans="1:6" s="307" customFormat="1" x14ac:dyDescent="0.2">
      <c r="A140" s="308" t="s">
        <v>494</v>
      </c>
      <c r="B140" s="307">
        <v>1.6416163376708204</v>
      </c>
      <c r="C140" s="307">
        <v>0.15432352253983342</v>
      </c>
      <c r="D140" s="307">
        <v>0.15432352253983342</v>
      </c>
      <c r="E140" s="307">
        <v>0.15432352253983342</v>
      </c>
      <c r="F140" s="307">
        <v>0.15432352253983342</v>
      </c>
    </row>
    <row r="141" spans="1:6" s="307" customFormat="1" x14ac:dyDescent="0.2">
      <c r="A141" s="308" t="s">
        <v>493</v>
      </c>
      <c r="B141" s="307">
        <v>-3.2857722876789529E-4</v>
      </c>
      <c r="C141" s="307">
        <v>-1.1966528603015066E-5</v>
      </c>
      <c r="D141" s="307">
        <v>-1.1966528603015066E-5</v>
      </c>
      <c r="E141" s="307">
        <v>-1.1966528603015066E-5</v>
      </c>
      <c r="F141" s="307">
        <v>-1.1966528603015066E-5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AJ92"/>
  <sheetViews>
    <sheetView topLeftCell="A4" zoomScale="85" workbookViewId="0">
      <selection activeCell="Y25" sqref="Y25"/>
    </sheetView>
  </sheetViews>
  <sheetFormatPr baseColWidth="10" defaultColWidth="11.42578125" defaultRowHeight="15" customHeight="1" x14ac:dyDescent="0.2"/>
  <cols>
    <col min="1" max="1" width="14.42578125" style="220" customWidth="1"/>
    <col min="2" max="2" width="12.85546875" style="220" bestFit="1" customWidth="1"/>
    <col min="3" max="3" width="12.5703125" style="220" customWidth="1"/>
    <col min="4" max="4" width="13" style="220" customWidth="1"/>
    <col min="5" max="5" width="11.42578125" style="220" customWidth="1"/>
    <col min="6" max="6" width="10.5703125" style="220" customWidth="1"/>
    <col min="7" max="7" width="12.85546875" style="220" customWidth="1"/>
    <col min="8" max="8" width="13.85546875" style="220" customWidth="1"/>
    <col min="9" max="9" width="14.42578125" style="220" customWidth="1"/>
    <col min="10" max="13" width="13.28515625" style="220" customWidth="1"/>
    <col min="14" max="14" width="14" style="220" customWidth="1"/>
    <col min="15" max="15" width="15.28515625" style="220" customWidth="1"/>
    <col min="16" max="16" width="11.42578125" style="220" customWidth="1"/>
    <col min="17" max="17" width="10.28515625" style="220" customWidth="1"/>
    <col min="18" max="18" width="14.42578125" style="220" customWidth="1"/>
    <col min="19" max="19" width="12.42578125" style="220" customWidth="1"/>
    <col min="20" max="22" width="11.42578125" style="220" customWidth="1"/>
    <col min="23" max="23" width="11.85546875" style="220" customWidth="1"/>
    <col min="24" max="24" width="5.7109375" style="220" bestFit="1" customWidth="1"/>
    <col min="25" max="25" width="9.140625" style="220" bestFit="1" customWidth="1"/>
    <col min="26" max="26" width="6.140625" style="220" bestFit="1" customWidth="1"/>
    <col min="27" max="27" width="9.140625" style="220" bestFit="1" customWidth="1"/>
    <col min="28" max="32" width="11.42578125" style="220" customWidth="1"/>
    <col min="33" max="34" width="11.42578125" style="220" hidden="1" customWidth="1"/>
    <col min="35" max="16384" width="11.42578125" style="220"/>
  </cols>
  <sheetData>
    <row r="1" spans="1:36" ht="19.5" customHeight="1" x14ac:dyDescent="0.2">
      <c r="A1" s="219"/>
      <c r="B1" s="219"/>
      <c r="J1" s="299" t="s">
        <v>463</v>
      </c>
      <c r="K1" s="297"/>
      <c r="L1" s="297"/>
      <c r="M1" s="298"/>
    </row>
    <row r="2" spans="1:36" ht="12" customHeight="1" x14ac:dyDescent="0.2">
      <c r="A2" s="219"/>
      <c r="B2" s="219"/>
      <c r="J2" s="296"/>
      <c r="K2" s="296"/>
      <c r="L2" s="338"/>
      <c r="M2" s="338"/>
      <c r="N2" s="339"/>
      <c r="O2" s="339"/>
    </row>
    <row r="3" spans="1:36" ht="10.5" customHeight="1" x14ac:dyDescent="0.2">
      <c r="A3" s="219"/>
      <c r="B3" s="219"/>
      <c r="J3" s="296" t="s">
        <v>461</v>
      </c>
      <c r="K3" s="296" t="s">
        <v>483</v>
      </c>
      <c r="L3" s="338"/>
      <c r="M3" s="338"/>
      <c r="N3" s="339"/>
      <c r="O3" s="339"/>
    </row>
    <row r="4" spans="1:36" ht="15" customHeight="1" x14ac:dyDescent="0.2">
      <c r="A4" s="221"/>
      <c r="B4" s="221"/>
      <c r="J4" s="296" t="s">
        <v>462</v>
      </c>
      <c r="K4" s="296" t="s">
        <v>482</v>
      </c>
      <c r="L4" s="338"/>
      <c r="M4" s="338"/>
      <c r="N4" s="339"/>
      <c r="O4" s="339"/>
    </row>
    <row r="5" spans="1:36" ht="15" customHeight="1" x14ac:dyDescent="0.2">
      <c r="J5" s="296"/>
      <c r="K5" s="296"/>
      <c r="L5" s="338"/>
      <c r="M5" s="338"/>
      <c r="N5" s="339"/>
      <c r="O5" s="339"/>
    </row>
    <row r="6" spans="1:36" ht="15" customHeight="1" x14ac:dyDescent="0.2">
      <c r="G6" s="226" t="s">
        <v>122</v>
      </c>
      <c r="L6" s="339"/>
      <c r="M6" s="339"/>
      <c r="N6" s="339"/>
      <c r="O6" s="340"/>
    </row>
    <row r="7" spans="1:36" ht="15" customHeight="1" x14ac:dyDescent="0.2">
      <c r="L7" s="339"/>
      <c r="M7" s="339"/>
      <c r="N7" s="339"/>
      <c r="O7" s="339"/>
      <c r="P7" s="222"/>
    </row>
    <row r="8" spans="1:36" ht="15" customHeight="1" x14ac:dyDescent="0.2">
      <c r="A8" s="341"/>
      <c r="B8" s="341"/>
      <c r="C8" s="341"/>
      <c r="D8" s="341"/>
      <c r="E8" s="341"/>
      <c r="F8" s="341"/>
      <c r="G8" s="341"/>
      <c r="H8" s="341"/>
      <c r="I8" s="341"/>
      <c r="J8" s="341"/>
      <c r="K8" s="341"/>
      <c r="L8" s="341"/>
      <c r="M8" s="341"/>
      <c r="N8" s="341"/>
      <c r="O8" s="342"/>
    </row>
    <row r="9" spans="1:36" ht="15" customHeight="1" x14ac:dyDescent="0.2">
      <c r="A9" s="341"/>
      <c r="B9" s="341"/>
      <c r="C9" s="341"/>
      <c r="D9" s="341"/>
      <c r="E9" s="343"/>
      <c r="F9" s="341"/>
      <c r="G9" s="341"/>
      <c r="H9" s="341"/>
      <c r="I9" s="341"/>
      <c r="J9" s="341"/>
      <c r="K9" s="341"/>
      <c r="L9" s="341"/>
      <c r="M9" s="341"/>
      <c r="N9" s="341"/>
      <c r="O9" s="341"/>
      <c r="AG9" s="251" t="s">
        <v>430</v>
      </c>
    </row>
    <row r="10" spans="1:36" ht="15" customHeight="1" x14ac:dyDescent="0.2">
      <c r="A10" s="516" t="s">
        <v>348</v>
      </c>
      <c r="B10" s="517"/>
      <c r="C10" s="518"/>
      <c r="D10" s="341"/>
      <c r="E10" s="341"/>
      <c r="F10" s="341"/>
      <c r="G10" s="516" t="s">
        <v>349</v>
      </c>
      <c r="H10" s="517"/>
      <c r="I10" s="518"/>
      <c r="J10" s="341"/>
      <c r="K10" s="341"/>
      <c r="L10" s="522"/>
      <c r="M10" s="522"/>
      <c r="N10" s="523"/>
      <c r="O10" s="341"/>
      <c r="Q10" s="458" t="s">
        <v>956</v>
      </c>
      <c r="R10" s="459"/>
      <c r="S10" s="459"/>
      <c r="T10" s="459"/>
      <c r="U10" s="459"/>
      <c r="V10" s="40"/>
      <c r="W10" s="458" t="s">
        <v>957</v>
      </c>
      <c r="X10" s="459"/>
      <c r="Y10" s="459"/>
      <c r="Z10" s="459"/>
      <c r="AF10" s="220" t="s">
        <v>397</v>
      </c>
    </row>
    <row r="11" spans="1:36" ht="15" customHeight="1" x14ac:dyDescent="0.2">
      <c r="A11" s="344"/>
      <c r="B11" s="345"/>
      <c r="C11" s="345"/>
      <c r="D11" s="346"/>
      <c r="E11" s="347"/>
      <c r="F11" s="341"/>
      <c r="G11" s="348"/>
      <c r="H11" s="349"/>
      <c r="I11" s="349"/>
      <c r="J11" s="346"/>
      <c r="K11" s="341"/>
      <c r="L11" s="348"/>
      <c r="M11" s="349"/>
      <c r="N11" s="349"/>
      <c r="O11" s="346"/>
      <c r="Q11" s="40"/>
      <c r="R11" s="40"/>
      <c r="S11" s="40"/>
      <c r="T11" s="40"/>
      <c r="U11" s="40"/>
      <c r="V11" s="40"/>
      <c r="W11" s="40"/>
      <c r="X11" s="40"/>
      <c r="Y11" s="40"/>
      <c r="Z11" s="40"/>
      <c r="AF11" s="220" t="s">
        <v>429</v>
      </c>
    </row>
    <row r="12" spans="1:36" ht="15" customHeight="1" x14ac:dyDescent="0.2">
      <c r="A12" s="511" t="s">
        <v>363</v>
      </c>
      <c r="B12" s="512"/>
      <c r="C12" s="350">
        <v>0.72</v>
      </c>
      <c r="D12" s="351" t="s">
        <v>371</v>
      </c>
      <c r="E12" s="341"/>
      <c r="F12" s="341"/>
      <c r="G12" s="511" t="s">
        <v>346</v>
      </c>
      <c r="H12" s="512"/>
      <c r="I12" s="294">
        <v>0.25</v>
      </c>
      <c r="J12" s="351" t="s">
        <v>372</v>
      </c>
      <c r="K12" s="341"/>
      <c r="L12" s="511" t="s">
        <v>715</v>
      </c>
      <c r="M12" s="512"/>
      <c r="N12" s="291">
        <v>4</v>
      </c>
      <c r="O12" s="352"/>
      <c r="Q12" s="460"/>
      <c r="R12" s="467"/>
      <c r="S12" s="468"/>
      <c r="T12" s="467"/>
      <c r="U12" s="467"/>
      <c r="V12" s="467"/>
      <c r="W12" s="469"/>
      <c r="X12" s="467"/>
      <c r="Y12" s="468"/>
      <c r="Z12" s="467"/>
      <c r="AF12" s="220" t="s">
        <v>441</v>
      </c>
    </row>
    <row r="13" spans="1:36" ht="15" customHeight="1" x14ac:dyDescent="0.2">
      <c r="A13" s="511" t="s">
        <v>360</v>
      </c>
      <c r="B13" s="512"/>
      <c r="C13" s="288">
        <v>1.425</v>
      </c>
      <c r="D13" s="351" t="s">
        <v>372</v>
      </c>
      <c r="E13" s="341"/>
      <c r="F13" s="341"/>
      <c r="G13" s="511" t="s">
        <v>347</v>
      </c>
      <c r="H13" s="512"/>
      <c r="I13" s="294">
        <v>0.8</v>
      </c>
      <c r="J13" s="351" t="s">
        <v>375</v>
      </c>
      <c r="K13" s="341"/>
      <c r="L13" s="511" t="s">
        <v>716</v>
      </c>
      <c r="M13" s="512"/>
      <c r="N13" s="294">
        <v>9.5</v>
      </c>
      <c r="O13" s="351" t="s">
        <v>372</v>
      </c>
      <c r="P13" s="223"/>
      <c r="Q13" s="460" t="s">
        <v>970</v>
      </c>
      <c r="R13" s="505" t="s">
        <v>630</v>
      </c>
      <c r="S13" s="505"/>
      <c r="T13" s="474"/>
      <c r="U13" s="40"/>
      <c r="V13" s="40"/>
      <c r="W13" s="460" t="s">
        <v>922</v>
      </c>
      <c r="X13" s="505" t="s">
        <v>579</v>
      </c>
      <c r="Y13" s="505"/>
      <c r="Z13" s="40"/>
    </row>
    <row r="14" spans="1:36" ht="15" customHeight="1" x14ac:dyDescent="0.2">
      <c r="A14" s="511" t="s">
        <v>362</v>
      </c>
      <c r="B14" s="512"/>
      <c r="C14" s="291" t="s">
        <v>78</v>
      </c>
      <c r="D14" s="352"/>
      <c r="E14" s="341"/>
      <c r="F14" s="341"/>
      <c r="G14" s="353"/>
      <c r="H14" s="354"/>
      <c r="I14" s="354"/>
      <c r="J14" s="352" t="s">
        <v>1</v>
      </c>
      <c r="K14" s="343">
        <v>20.8</v>
      </c>
      <c r="L14" s="511" t="s">
        <v>717</v>
      </c>
      <c r="M14" s="513"/>
      <c r="N14" s="294">
        <v>1.8</v>
      </c>
      <c r="O14" s="351" t="s">
        <v>372</v>
      </c>
      <c r="Q14" s="469"/>
      <c r="R14" s="504"/>
      <c r="S14" s="504"/>
      <c r="T14" s="474"/>
      <c r="U14" s="467"/>
      <c r="V14" s="467"/>
      <c r="W14" s="469"/>
      <c r="X14" s="504"/>
      <c r="Y14" s="504"/>
      <c r="Z14" s="467"/>
      <c r="AE14" s="220" t="s">
        <v>444</v>
      </c>
      <c r="AH14" s="220">
        <f>AI14+AJ14</f>
        <v>770</v>
      </c>
      <c r="AI14" s="220">
        <v>750</v>
      </c>
      <c r="AJ14" s="220">
        <v>20</v>
      </c>
    </row>
    <row r="15" spans="1:36" ht="15" customHeight="1" x14ac:dyDescent="0.2">
      <c r="A15" s="511"/>
      <c r="B15" s="513"/>
      <c r="C15" s="291"/>
      <c r="D15" s="355"/>
      <c r="E15" s="341"/>
      <c r="F15" s="341"/>
      <c r="G15" s="353"/>
      <c r="H15" s="354"/>
      <c r="I15" s="354"/>
      <c r="J15" s="352" t="s">
        <v>68</v>
      </c>
      <c r="K15" s="343">
        <v>79.2</v>
      </c>
      <c r="L15" s="295"/>
      <c r="M15" s="356" t="s">
        <v>714</v>
      </c>
      <c r="N15" s="356" t="s">
        <v>391</v>
      </c>
      <c r="O15" s="355" t="s">
        <v>387</v>
      </c>
      <c r="Q15" s="460"/>
      <c r="R15" s="41"/>
      <c r="S15" s="41"/>
      <c r="T15" s="40"/>
      <c r="U15" s="40"/>
      <c r="V15" s="40"/>
      <c r="W15" s="460"/>
      <c r="X15" s="41"/>
      <c r="Y15" s="41"/>
      <c r="Z15" s="40"/>
      <c r="AE15" s="220" t="s">
        <v>445</v>
      </c>
      <c r="AH15" s="220">
        <f t="shared" ref="AH15:AH23" si="0">AI15+AJ15</f>
        <v>770</v>
      </c>
      <c r="AI15" s="220">
        <v>750</v>
      </c>
      <c r="AJ15" s="220">
        <v>20</v>
      </c>
    </row>
    <row r="16" spans="1:36" ht="15" customHeight="1" x14ac:dyDescent="0.2">
      <c r="A16" s="354"/>
      <c r="B16" s="354"/>
      <c r="C16" s="354"/>
      <c r="D16" s="352"/>
      <c r="E16" s="341"/>
      <c r="F16" s="341"/>
      <c r="G16" s="357"/>
      <c r="H16" s="358"/>
      <c r="I16" s="358"/>
      <c r="J16" s="359"/>
      <c r="K16" s="343"/>
      <c r="L16" s="295"/>
      <c r="M16" s="291">
        <v>1</v>
      </c>
      <c r="N16" s="291">
        <v>4</v>
      </c>
      <c r="O16" s="292">
        <v>0.8</v>
      </c>
      <c r="Q16" s="460" t="s">
        <v>959</v>
      </c>
      <c r="R16" s="40"/>
      <c r="S16" s="40"/>
      <c r="T16" s="40"/>
      <c r="U16" s="40" t="s">
        <v>971</v>
      </c>
      <c r="V16" s="82"/>
      <c r="W16" s="460" t="s">
        <v>960</v>
      </c>
      <c r="X16" s="40"/>
      <c r="Y16" s="40"/>
      <c r="Z16" s="40"/>
      <c r="AE16" s="220" t="s">
        <v>446</v>
      </c>
      <c r="AH16" s="220">
        <f t="shared" si="0"/>
        <v>925</v>
      </c>
      <c r="AI16" s="220">
        <v>905</v>
      </c>
      <c r="AJ16" s="220">
        <v>20</v>
      </c>
    </row>
    <row r="17" spans="1:36" ht="15" customHeight="1" x14ac:dyDescent="0.2">
      <c r="A17" s="358"/>
      <c r="B17" s="358"/>
      <c r="C17" s="358"/>
      <c r="D17" s="359"/>
      <c r="E17" s="341"/>
      <c r="F17" s="341"/>
      <c r="G17" s="343"/>
      <c r="H17" s="343"/>
      <c r="I17" s="343"/>
      <c r="J17" s="343"/>
      <c r="K17" s="343"/>
      <c r="L17" s="295"/>
      <c r="M17" s="291">
        <v>2</v>
      </c>
      <c r="N17" s="291">
        <v>4</v>
      </c>
      <c r="O17" s="292">
        <v>0.8</v>
      </c>
      <c r="Q17" s="40"/>
      <c r="R17" s="40"/>
      <c r="S17" s="41" t="s">
        <v>958</v>
      </c>
      <c r="T17"/>
      <c r="U17" s="454" t="s">
        <v>961</v>
      </c>
      <c r="V17" s="205" t="s">
        <v>972</v>
      </c>
      <c r="W17" s="40"/>
      <c r="X17" s="41" t="s">
        <v>961</v>
      </c>
      <c r="Y17" s="205" t="s">
        <v>972</v>
      </c>
      <c r="Z17" s="470"/>
      <c r="AE17" s="220" t="s">
        <v>447</v>
      </c>
      <c r="AH17" s="220">
        <f t="shared" si="0"/>
        <v>925</v>
      </c>
      <c r="AI17" s="220">
        <v>905</v>
      </c>
      <c r="AJ17" s="220">
        <v>20</v>
      </c>
    </row>
    <row r="18" spans="1:36" ht="15" customHeight="1" x14ac:dyDescent="0.2">
      <c r="A18" s="341"/>
      <c r="B18" s="341"/>
      <c r="C18" s="341"/>
      <c r="D18" s="341"/>
      <c r="E18" s="341"/>
      <c r="F18" s="341"/>
      <c r="G18" s="343"/>
      <c r="H18" s="343"/>
      <c r="I18" s="343"/>
      <c r="J18" s="343"/>
      <c r="K18" s="343"/>
      <c r="L18" s="295"/>
      <c r="M18" s="291">
        <v>3</v>
      </c>
      <c r="N18" s="291">
        <v>4</v>
      </c>
      <c r="O18" s="292">
        <v>0.8</v>
      </c>
      <c r="Q18" s="461" t="s">
        <v>962</v>
      </c>
      <c r="R18" s="40"/>
      <c r="S18" s="462">
        <v>52.400926878321251</v>
      </c>
      <c r="T18" s="460" t="s">
        <v>963</v>
      </c>
      <c r="U18" s="478" t="s">
        <v>68</v>
      </c>
      <c r="V18" s="205">
        <v>3.5</v>
      </c>
      <c r="W18" s="40"/>
      <c r="X18" s="479" t="s">
        <v>1</v>
      </c>
      <c r="Y18" s="480">
        <v>20.8</v>
      </c>
      <c r="Z18" s="471"/>
      <c r="AE18" s="220" t="s">
        <v>448</v>
      </c>
      <c r="AH18" s="220">
        <f t="shared" si="0"/>
        <v>925</v>
      </c>
      <c r="AI18" s="220">
        <v>905</v>
      </c>
      <c r="AJ18" s="220">
        <v>20</v>
      </c>
    </row>
    <row r="19" spans="1:36" ht="15" customHeight="1" x14ac:dyDescent="0.2">
      <c r="A19" s="516" t="s">
        <v>350</v>
      </c>
      <c r="B19" s="517"/>
      <c r="C19" s="518"/>
      <c r="D19" s="341"/>
      <c r="E19" s="341"/>
      <c r="F19" s="341"/>
      <c r="G19" s="519" t="s">
        <v>388</v>
      </c>
      <c r="H19" s="520"/>
      <c r="I19" s="521"/>
      <c r="J19" s="343"/>
      <c r="K19" s="343"/>
      <c r="L19" s="295"/>
      <c r="M19" s="291">
        <v>4</v>
      </c>
      <c r="N19" s="291">
        <v>4</v>
      </c>
      <c r="O19" s="292">
        <v>0.8</v>
      </c>
      <c r="Q19" s="461" t="s">
        <v>964</v>
      </c>
      <c r="R19" s="40"/>
      <c r="S19" s="464">
        <v>37181.111865117608</v>
      </c>
      <c r="T19" s="460" t="s">
        <v>965</v>
      </c>
      <c r="U19" s="475" t="s">
        <v>11</v>
      </c>
      <c r="V19" s="476">
        <v>90</v>
      </c>
      <c r="W19" s="40"/>
      <c r="X19" s="479" t="s">
        <v>68</v>
      </c>
      <c r="Y19" s="480">
        <v>79.2</v>
      </c>
      <c r="Z19" s="471"/>
      <c r="AE19" s="220" t="s">
        <v>449</v>
      </c>
      <c r="AH19" s="220">
        <f t="shared" si="0"/>
        <v>925</v>
      </c>
      <c r="AI19" s="220">
        <v>905</v>
      </c>
      <c r="AJ19" s="220">
        <v>20</v>
      </c>
    </row>
    <row r="20" spans="1:36" ht="15" customHeight="1" x14ac:dyDescent="0.2">
      <c r="A20" s="348"/>
      <c r="B20" s="349"/>
      <c r="C20" s="349"/>
      <c r="D20" s="346"/>
      <c r="E20" s="341"/>
      <c r="F20" s="341"/>
      <c r="G20" s="360"/>
      <c r="H20" s="345"/>
      <c r="I20" s="345"/>
      <c r="J20" s="361"/>
      <c r="K20" s="343"/>
      <c r="L20" s="295"/>
      <c r="M20" s="372">
        <v>5</v>
      </c>
      <c r="N20" s="372"/>
      <c r="O20" s="373"/>
      <c r="Q20" s="461" t="s">
        <v>966</v>
      </c>
      <c r="R20" s="40"/>
      <c r="S20" s="465">
        <v>0.79391659528143632</v>
      </c>
      <c r="T20" s="460" t="s">
        <v>967</v>
      </c>
      <c r="U20" s="475" t="s">
        <v>13</v>
      </c>
      <c r="V20" s="476">
        <v>4</v>
      </c>
      <c r="W20" s="40"/>
      <c r="X20" s="479"/>
      <c r="Y20" s="480"/>
      <c r="Z20" s="471"/>
      <c r="AE20" s="220" t="s">
        <v>450</v>
      </c>
      <c r="AH20" s="220">
        <f t="shared" si="0"/>
        <v>925</v>
      </c>
      <c r="AI20" s="220">
        <v>905</v>
      </c>
      <c r="AJ20" s="220">
        <v>20</v>
      </c>
    </row>
    <row r="21" spans="1:36" ht="15" customHeight="1" x14ac:dyDescent="0.2">
      <c r="A21" s="511" t="s">
        <v>125</v>
      </c>
      <c r="B21" s="512"/>
      <c r="C21" s="291">
        <v>98.3</v>
      </c>
      <c r="D21" s="351" t="s">
        <v>126</v>
      </c>
      <c r="E21" s="343"/>
      <c r="F21" s="341"/>
      <c r="G21" s="511" t="s">
        <v>351</v>
      </c>
      <c r="H21" s="512"/>
      <c r="I21" s="506" t="s">
        <v>389</v>
      </c>
      <c r="J21" s="507"/>
      <c r="K21" s="343"/>
      <c r="L21" s="295"/>
      <c r="M21" s="372">
        <v>6</v>
      </c>
      <c r="N21" s="372"/>
      <c r="O21" s="373"/>
      <c r="Q21" s="461" t="str">
        <f>IF(Y12=2,"Air requirement : comb n°1","Air requirement")</f>
        <v>Air requirement</v>
      </c>
      <c r="R21" s="40"/>
      <c r="S21" s="462">
        <v>9.9639423076923084</v>
      </c>
      <c r="T21" s="460" t="s">
        <v>968</v>
      </c>
      <c r="U21" s="475" t="s">
        <v>15</v>
      </c>
      <c r="V21" s="476">
        <v>2</v>
      </c>
      <c r="W21" s="40"/>
      <c r="X21" s="479"/>
      <c r="Y21" s="480"/>
      <c r="Z21" s="471"/>
      <c r="AE21" s="220" t="s">
        <v>451</v>
      </c>
      <c r="AH21" s="220">
        <f t="shared" si="0"/>
        <v>925</v>
      </c>
      <c r="AI21" s="220">
        <v>905</v>
      </c>
      <c r="AJ21" s="220">
        <v>20</v>
      </c>
    </row>
    <row r="22" spans="1:36" ht="15" customHeight="1" x14ac:dyDescent="0.2">
      <c r="A22" s="511" t="s">
        <v>361</v>
      </c>
      <c r="B22" s="512"/>
      <c r="C22" s="362">
        <v>520.38</v>
      </c>
      <c r="D22" s="351" t="s">
        <v>373</v>
      </c>
      <c r="E22" s="363"/>
      <c r="F22" s="341"/>
      <c r="G22" s="295"/>
      <c r="H22" s="291"/>
      <c r="I22" s="291"/>
      <c r="J22" s="293"/>
      <c r="K22" s="343"/>
      <c r="L22" s="295"/>
      <c r="M22" s="372">
        <v>7</v>
      </c>
      <c r="N22" s="372"/>
      <c r="O22" s="374"/>
      <c r="Q22" s="461" t="str">
        <f>IF(Y12=2,"Wet Flue gas : comb n°1","Wet Flue gas")</f>
        <v>Wet Flue gas</v>
      </c>
      <c r="R22" s="40"/>
      <c r="S22" s="462">
        <v>11.01144230769231</v>
      </c>
      <c r="T22" s="460" t="s">
        <v>968</v>
      </c>
      <c r="U22" s="475" t="s">
        <v>17</v>
      </c>
      <c r="V22" s="476">
        <v>0.5</v>
      </c>
      <c r="W22" s="40"/>
      <c r="X22" s="479"/>
      <c r="Y22" s="480"/>
      <c r="Z22" s="471"/>
      <c r="AE22" s="220" t="s">
        <v>452</v>
      </c>
      <c r="AH22" s="220">
        <f t="shared" si="0"/>
        <v>690</v>
      </c>
      <c r="AI22" s="220">
        <v>670</v>
      </c>
      <c r="AJ22" s="220">
        <v>20</v>
      </c>
    </row>
    <row r="23" spans="1:36" ht="15" customHeight="1" x14ac:dyDescent="0.2">
      <c r="A23" s="511" t="s">
        <v>345</v>
      </c>
      <c r="B23" s="512"/>
      <c r="C23" s="291">
        <v>20</v>
      </c>
      <c r="D23" s="351" t="s">
        <v>374</v>
      </c>
      <c r="E23" s="341"/>
      <c r="F23" s="341"/>
      <c r="G23" s="511" t="s">
        <v>352</v>
      </c>
      <c r="H23" s="512"/>
      <c r="I23" s="291"/>
      <c r="J23" s="293"/>
      <c r="K23" s="343"/>
      <c r="L23" s="295"/>
      <c r="M23" s="372">
        <v>8</v>
      </c>
      <c r="N23" s="372"/>
      <c r="O23" s="374"/>
      <c r="Q23" s="461"/>
      <c r="R23" s="40"/>
      <c r="S23" s="463"/>
      <c r="T23"/>
      <c r="U23" s="477" t="s">
        <v>17</v>
      </c>
      <c r="V23" s="477">
        <v>0.5</v>
      </c>
      <c r="W23" s="40"/>
      <c r="X23" s="40"/>
      <c r="Y23" s="40"/>
      <c r="Z23" s="472"/>
      <c r="AE23" s="220" t="s">
        <v>453</v>
      </c>
      <c r="AH23" s="220">
        <f t="shared" si="0"/>
        <v>690</v>
      </c>
      <c r="AI23" s="220">
        <v>670</v>
      </c>
      <c r="AJ23" s="220">
        <v>20</v>
      </c>
    </row>
    <row r="24" spans="1:36" ht="15" customHeight="1" x14ac:dyDescent="0.2">
      <c r="A24" s="514"/>
      <c r="B24" s="515"/>
      <c r="C24" s="364"/>
      <c r="D24" s="365"/>
      <c r="E24" s="341"/>
      <c r="F24" s="341"/>
      <c r="G24" s="511" t="s">
        <v>353</v>
      </c>
      <c r="H24" s="512"/>
      <c r="I24" s="506" t="s">
        <v>390</v>
      </c>
      <c r="J24" s="507"/>
      <c r="K24" s="343"/>
      <c r="L24" s="295"/>
      <c r="M24" s="372">
        <v>9</v>
      </c>
      <c r="N24" s="372"/>
      <c r="O24" s="374"/>
      <c r="Q24" s="461" t="s">
        <v>969</v>
      </c>
      <c r="R24" s="40"/>
      <c r="S24" s="466">
        <v>20</v>
      </c>
      <c r="T24"/>
      <c r="U24" s="40"/>
      <c r="V24" s="40"/>
      <c r="W24" s="461" t="s">
        <v>969</v>
      </c>
      <c r="X24" s="40"/>
      <c r="Y24" s="466">
        <v>20</v>
      </c>
      <c r="Z24" s="473"/>
      <c r="AE24" s="220" t="s">
        <v>454</v>
      </c>
    </row>
    <row r="25" spans="1:36" ht="15" customHeight="1" x14ac:dyDescent="0.2">
      <c r="A25" s="366"/>
      <c r="B25" s="367"/>
      <c r="C25" s="367"/>
      <c r="D25" s="367"/>
      <c r="E25" s="341"/>
      <c r="F25" s="341"/>
      <c r="G25" s="368"/>
      <c r="H25" s="369"/>
      <c r="I25" s="369"/>
      <c r="J25" s="370"/>
      <c r="K25" s="343"/>
      <c r="L25" s="295"/>
      <c r="M25" s="372">
        <v>10</v>
      </c>
      <c r="N25" s="372"/>
      <c r="O25" s="374"/>
      <c r="Q25" s="200"/>
      <c r="R25" s="40"/>
      <c r="S25" s="40"/>
      <c r="T25" s="40"/>
      <c r="U25" s="40"/>
      <c r="V25" s="40"/>
      <c r="W25" s="461" t="s">
        <v>973</v>
      </c>
      <c r="X25" s="40"/>
      <c r="Y25" s="466">
        <v>10</v>
      </c>
      <c r="Z25" s="82" t="s">
        <v>76</v>
      </c>
      <c r="AE25" s="220" t="s">
        <v>455</v>
      </c>
    </row>
    <row r="26" spans="1:36" ht="15" customHeight="1" x14ac:dyDescent="0.2">
      <c r="A26" s="341"/>
      <c r="B26" s="341"/>
      <c r="C26" s="341"/>
      <c r="D26" s="341"/>
      <c r="E26" s="341"/>
      <c r="F26" s="341"/>
      <c r="G26" s="341"/>
      <c r="H26" s="341"/>
      <c r="I26" s="341" t="s">
        <v>465</v>
      </c>
      <c r="J26" s="371">
        <v>1</v>
      </c>
      <c r="K26" s="341"/>
      <c r="L26" s="295"/>
      <c r="M26" s="372">
        <v>11</v>
      </c>
      <c r="N26" s="372"/>
      <c r="O26" s="374"/>
      <c r="Q26" s="481"/>
      <c r="R26" s="481"/>
      <c r="S26" s="481"/>
      <c r="T26" s="481"/>
      <c r="U26" s="481"/>
      <c r="V26" s="481"/>
      <c r="W26" s="481"/>
      <c r="X26" s="481"/>
      <c r="Y26" s="481"/>
      <c r="Z26" s="481"/>
      <c r="AF26" s="220" t="s">
        <v>456</v>
      </c>
    </row>
    <row r="27" spans="1:36" ht="15" customHeight="1" x14ac:dyDescent="0.2">
      <c r="A27" s="341"/>
      <c r="B27" s="341"/>
      <c r="C27" s="341"/>
      <c r="D27" s="341"/>
      <c r="E27" s="341"/>
      <c r="F27" s="341"/>
      <c r="G27" s="341"/>
      <c r="H27" s="341"/>
      <c r="I27" s="341" t="s">
        <v>464</v>
      </c>
      <c r="J27" s="371">
        <v>4</v>
      </c>
      <c r="K27" s="341"/>
      <c r="L27" s="295"/>
      <c r="M27" s="372">
        <v>12</v>
      </c>
      <c r="N27" s="372"/>
      <c r="O27" s="374"/>
      <c r="AF27" s="220" t="s">
        <v>457</v>
      </c>
    </row>
    <row r="28" spans="1:36" ht="13.5" customHeight="1" x14ac:dyDescent="0.2">
      <c r="A28" s="339"/>
      <c r="B28" s="339"/>
      <c r="C28" s="339"/>
      <c r="D28" s="339"/>
      <c r="E28" s="339"/>
      <c r="F28" s="339"/>
      <c r="G28" s="339"/>
      <c r="H28" s="339"/>
      <c r="I28" s="339"/>
      <c r="J28" s="339"/>
      <c r="K28" s="339"/>
      <c r="L28" s="377"/>
      <c r="M28" s="372">
        <v>13</v>
      </c>
      <c r="N28" s="375"/>
      <c r="O28" s="376"/>
      <c r="Q28" s="224"/>
      <c r="AF28" s="220" t="s">
        <v>458</v>
      </c>
    </row>
    <row r="29" spans="1:36" ht="15" customHeight="1" x14ac:dyDescent="0.2">
      <c r="A29" s="508" t="s">
        <v>354</v>
      </c>
      <c r="B29" s="509"/>
      <c r="C29" s="510"/>
      <c r="D29" s="339"/>
      <c r="E29" s="339"/>
      <c r="F29" s="339"/>
      <c r="G29" s="339"/>
      <c r="H29" s="339"/>
      <c r="I29" s="339"/>
      <c r="J29" s="339"/>
      <c r="K29" s="339"/>
      <c r="L29" s="339"/>
      <c r="M29" s="378"/>
      <c r="N29" s="378"/>
      <c r="O29" s="378"/>
      <c r="AF29" s="220" t="s">
        <v>459</v>
      </c>
    </row>
    <row r="30" spans="1:36" ht="15" customHeight="1" x14ac:dyDescent="0.2">
      <c r="A30" s="379"/>
      <c r="B30" s="380"/>
      <c r="C30" s="380"/>
      <c r="D30" s="380"/>
      <c r="E30" s="380"/>
      <c r="F30" s="380"/>
      <c r="G30" s="380"/>
      <c r="H30" s="380"/>
      <c r="I30" s="380"/>
      <c r="J30" s="380"/>
      <c r="K30" s="381"/>
      <c r="L30" s="381"/>
      <c r="M30" s="381"/>
      <c r="N30" s="381"/>
      <c r="O30" s="382"/>
      <c r="AF30" s="220" t="s">
        <v>460</v>
      </c>
    </row>
    <row r="31" spans="1:36" ht="15" customHeight="1" x14ac:dyDescent="0.2">
      <c r="A31" s="455" t="s">
        <v>941</v>
      </c>
      <c r="B31" s="456" t="s">
        <v>942</v>
      </c>
      <c r="C31" s="356" t="s">
        <v>943</v>
      </c>
      <c r="D31" s="356" t="s">
        <v>944</v>
      </c>
      <c r="E31" s="356" t="s">
        <v>945</v>
      </c>
      <c r="F31" s="356" t="s">
        <v>946</v>
      </c>
      <c r="G31" s="356" t="s">
        <v>947</v>
      </c>
      <c r="H31" s="356" t="s">
        <v>948</v>
      </c>
      <c r="I31" s="356" t="s">
        <v>949</v>
      </c>
      <c r="J31" s="356" t="s">
        <v>950</v>
      </c>
      <c r="K31" s="356" t="s">
        <v>951</v>
      </c>
      <c r="L31" s="356" t="s">
        <v>952</v>
      </c>
      <c r="M31" s="356" t="s">
        <v>953</v>
      </c>
      <c r="N31" s="356" t="s">
        <v>954</v>
      </c>
      <c r="O31" s="356" t="s">
        <v>955</v>
      </c>
      <c r="P31" s="355" t="s">
        <v>395</v>
      </c>
    </row>
    <row r="32" spans="1:36" ht="15" customHeight="1" x14ac:dyDescent="0.2">
      <c r="A32" s="295">
        <v>1</v>
      </c>
      <c r="B32" s="291">
        <v>1</v>
      </c>
      <c r="C32" s="291">
        <v>1</v>
      </c>
      <c r="D32" s="291" t="s">
        <v>123</v>
      </c>
      <c r="E32" s="294">
        <v>1</v>
      </c>
      <c r="F32" s="294">
        <v>0.19</v>
      </c>
      <c r="G32" s="294">
        <v>0.14000000000000001</v>
      </c>
      <c r="H32" s="294">
        <v>0.96</v>
      </c>
      <c r="I32" s="294">
        <v>0.95</v>
      </c>
      <c r="J32" s="294">
        <v>0.35</v>
      </c>
      <c r="K32" s="294">
        <v>1.9</v>
      </c>
      <c r="L32" s="291">
        <v>5</v>
      </c>
      <c r="M32" s="291">
        <v>950</v>
      </c>
      <c r="N32" s="291">
        <v>0.95</v>
      </c>
      <c r="O32" s="291">
        <v>0.22</v>
      </c>
      <c r="P32" s="457">
        <f t="shared" ref="P32:P47" si="1">IF(A32="","",IF(D32="W",(E32*F32*3.14*2)+3*(3.14*3.14*G32*F32)+2*(3.14*H32*F32),IF(D32="U",(E32*F32*3.14*2)+(3.14*3.14*G32*F32),IF(D32="I",E32*F32*3.14,0))))</f>
        <v>1.45546536</v>
      </c>
      <c r="R32" s="225"/>
      <c r="S32" s="225"/>
    </row>
    <row r="33" spans="1:16" ht="15" customHeight="1" x14ac:dyDescent="0.2">
      <c r="A33" s="295">
        <v>1</v>
      </c>
      <c r="B33" s="291">
        <v>1</v>
      </c>
      <c r="C33" s="291">
        <v>2</v>
      </c>
      <c r="D33" s="291" t="s">
        <v>124</v>
      </c>
      <c r="E33" s="294">
        <v>1</v>
      </c>
      <c r="F33" s="294">
        <v>0.19</v>
      </c>
      <c r="G33" s="294">
        <v>0.14000000000000001</v>
      </c>
      <c r="H33" s="294">
        <v>0.5</v>
      </c>
      <c r="I33" s="294">
        <v>0.79166666666666663</v>
      </c>
      <c r="J33" s="294">
        <v>0.35</v>
      </c>
      <c r="K33" s="294">
        <v>1.5833333333333333</v>
      </c>
      <c r="L33" s="291">
        <v>3</v>
      </c>
      <c r="M33" s="291">
        <v>950</v>
      </c>
      <c r="N33" s="291">
        <v>0.95</v>
      </c>
      <c r="O33" s="291">
        <v>0.22</v>
      </c>
      <c r="P33" s="457">
        <f t="shared" si="1"/>
        <v>2.5765960800000003</v>
      </c>
    </row>
    <row r="34" spans="1:16" ht="15" customHeight="1" x14ac:dyDescent="0.2">
      <c r="A34" s="295">
        <v>1</v>
      </c>
      <c r="B34" s="291">
        <v>1</v>
      </c>
      <c r="C34" s="291">
        <v>3</v>
      </c>
      <c r="D34" s="291" t="s">
        <v>123</v>
      </c>
      <c r="E34" s="294">
        <v>1</v>
      </c>
      <c r="F34" s="294">
        <v>0.19</v>
      </c>
      <c r="G34" s="294">
        <v>0.14000000000000001</v>
      </c>
      <c r="H34" s="294">
        <v>0.96</v>
      </c>
      <c r="I34" s="294">
        <v>0.95</v>
      </c>
      <c r="J34" s="294">
        <v>0.35</v>
      </c>
      <c r="K34" s="294">
        <v>1.9</v>
      </c>
      <c r="L34" s="291">
        <v>4</v>
      </c>
      <c r="M34" s="291">
        <v>950</v>
      </c>
      <c r="N34" s="291">
        <v>0.95</v>
      </c>
      <c r="O34" s="291">
        <v>0.22</v>
      </c>
      <c r="P34" s="457">
        <f t="shared" si="1"/>
        <v>1.45546536</v>
      </c>
    </row>
    <row r="35" spans="1:16" ht="15" customHeight="1" x14ac:dyDescent="0.2">
      <c r="A35" s="295">
        <v>1</v>
      </c>
      <c r="B35" s="291">
        <v>1</v>
      </c>
      <c r="C35" s="291">
        <v>4</v>
      </c>
      <c r="D35" s="291" t="s">
        <v>123</v>
      </c>
      <c r="E35" s="294">
        <v>1</v>
      </c>
      <c r="F35" s="294">
        <v>0.19</v>
      </c>
      <c r="G35" s="294">
        <v>0.14000000000000001</v>
      </c>
      <c r="H35" s="294">
        <v>0.96</v>
      </c>
      <c r="I35" s="294">
        <v>0.79166666666666663</v>
      </c>
      <c r="J35" s="294">
        <v>0.35</v>
      </c>
      <c r="K35" s="294">
        <v>1.5833333333333333</v>
      </c>
      <c r="L35" s="291">
        <v>6</v>
      </c>
      <c r="M35" s="291">
        <v>950</v>
      </c>
      <c r="N35" s="291">
        <v>0.95</v>
      </c>
      <c r="O35" s="291">
        <v>0.22</v>
      </c>
      <c r="P35" s="457">
        <f t="shared" si="1"/>
        <v>1.45546536</v>
      </c>
    </row>
    <row r="36" spans="1:16" ht="15" customHeight="1" x14ac:dyDescent="0.2">
      <c r="A36" s="295">
        <v>1</v>
      </c>
      <c r="B36" s="291">
        <v>2</v>
      </c>
      <c r="C36" s="291">
        <v>1</v>
      </c>
      <c r="D36" s="291" t="s">
        <v>123</v>
      </c>
      <c r="E36" s="294">
        <v>1</v>
      </c>
      <c r="F36" s="294">
        <v>0.19</v>
      </c>
      <c r="G36" s="294">
        <v>0.14000000000000001</v>
      </c>
      <c r="H36" s="294">
        <v>0.96</v>
      </c>
      <c r="I36" s="294">
        <v>0.95</v>
      </c>
      <c r="J36" s="294">
        <v>0.35</v>
      </c>
      <c r="K36" s="294">
        <v>1.9</v>
      </c>
      <c r="L36" s="291">
        <v>5</v>
      </c>
      <c r="M36" s="291">
        <v>950</v>
      </c>
      <c r="N36" s="291">
        <v>0.95</v>
      </c>
      <c r="O36" s="291">
        <v>0.22</v>
      </c>
      <c r="P36" s="457">
        <f t="shared" si="1"/>
        <v>1.45546536</v>
      </c>
    </row>
    <row r="37" spans="1:16" ht="15" customHeight="1" x14ac:dyDescent="0.2">
      <c r="A37" s="295">
        <v>1</v>
      </c>
      <c r="B37" s="291">
        <v>2</v>
      </c>
      <c r="C37" s="291">
        <v>2</v>
      </c>
      <c r="D37" s="291" t="s">
        <v>123</v>
      </c>
      <c r="E37" s="294">
        <v>1</v>
      </c>
      <c r="F37" s="294">
        <v>0.19</v>
      </c>
      <c r="G37" s="294">
        <v>0.14000000000000001</v>
      </c>
      <c r="H37" s="294">
        <v>0.96</v>
      </c>
      <c r="I37" s="294">
        <v>0.79166666666666663</v>
      </c>
      <c r="J37" s="294">
        <v>0.35</v>
      </c>
      <c r="K37" s="294">
        <v>1.5833333333333333</v>
      </c>
      <c r="L37" s="291">
        <v>1</v>
      </c>
      <c r="M37" s="291">
        <v>950</v>
      </c>
      <c r="N37" s="291">
        <v>0.95</v>
      </c>
      <c r="O37" s="291">
        <v>0.22</v>
      </c>
      <c r="P37" s="457">
        <f t="shared" si="1"/>
        <v>1.45546536</v>
      </c>
    </row>
    <row r="38" spans="1:16" ht="15" customHeight="1" x14ac:dyDescent="0.2">
      <c r="A38" s="295">
        <v>1</v>
      </c>
      <c r="B38" s="291">
        <v>2</v>
      </c>
      <c r="C38" s="291">
        <v>3</v>
      </c>
      <c r="D38" s="291" t="s">
        <v>123</v>
      </c>
      <c r="E38" s="294">
        <v>1</v>
      </c>
      <c r="F38" s="294">
        <v>0.19</v>
      </c>
      <c r="G38" s="294">
        <v>0.14000000000000001</v>
      </c>
      <c r="H38" s="294">
        <v>0.96</v>
      </c>
      <c r="I38" s="294">
        <v>0.95</v>
      </c>
      <c r="J38" s="294">
        <v>0.35</v>
      </c>
      <c r="K38" s="294">
        <v>1.9</v>
      </c>
      <c r="L38" s="291">
        <v>5</v>
      </c>
      <c r="M38" s="291">
        <v>950</v>
      </c>
      <c r="N38" s="291">
        <v>0.95</v>
      </c>
      <c r="O38" s="291">
        <v>0.22</v>
      </c>
      <c r="P38" s="457">
        <f t="shared" si="1"/>
        <v>1.45546536</v>
      </c>
    </row>
    <row r="39" spans="1:16" ht="15" customHeight="1" x14ac:dyDescent="0.2">
      <c r="A39" s="295">
        <v>1</v>
      </c>
      <c r="B39" s="291">
        <v>2</v>
      </c>
      <c r="C39" s="291">
        <v>4</v>
      </c>
      <c r="D39" s="291" t="s">
        <v>123</v>
      </c>
      <c r="E39" s="294">
        <v>1</v>
      </c>
      <c r="F39" s="294">
        <v>0.19</v>
      </c>
      <c r="G39" s="294">
        <v>0.14000000000000001</v>
      </c>
      <c r="H39" s="294">
        <v>0.96</v>
      </c>
      <c r="I39" s="294">
        <v>0.79166666666666663</v>
      </c>
      <c r="J39" s="294">
        <v>0.35</v>
      </c>
      <c r="K39" s="294">
        <v>1.5833333333333333</v>
      </c>
      <c r="L39" s="291">
        <v>1</v>
      </c>
      <c r="M39" s="291">
        <v>950</v>
      </c>
      <c r="N39" s="291">
        <v>0.95</v>
      </c>
      <c r="O39" s="291">
        <v>0.22</v>
      </c>
      <c r="P39" s="457">
        <f t="shared" si="1"/>
        <v>1.45546536</v>
      </c>
    </row>
    <row r="40" spans="1:16" ht="15" customHeight="1" x14ac:dyDescent="0.2">
      <c r="A40" s="295">
        <v>1</v>
      </c>
      <c r="B40" s="291">
        <v>3</v>
      </c>
      <c r="C40" s="291">
        <v>1</v>
      </c>
      <c r="D40" s="291" t="s">
        <v>123</v>
      </c>
      <c r="E40" s="294">
        <v>1</v>
      </c>
      <c r="F40" s="294">
        <v>0.19</v>
      </c>
      <c r="G40" s="294">
        <v>0.14000000000000001</v>
      </c>
      <c r="H40" s="294">
        <v>0.96</v>
      </c>
      <c r="I40" s="294">
        <v>0.95</v>
      </c>
      <c r="J40" s="294">
        <v>0.35</v>
      </c>
      <c r="K40" s="294">
        <v>1.9</v>
      </c>
      <c r="L40" s="291">
        <v>5</v>
      </c>
      <c r="M40" s="291">
        <v>950</v>
      </c>
      <c r="N40" s="291">
        <v>0.95</v>
      </c>
      <c r="O40" s="291">
        <v>0.22</v>
      </c>
      <c r="P40" s="457">
        <f t="shared" si="1"/>
        <v>1.45546536</v>
      </c>
    </row>
    <row r="41" spans="1:16" ht="15" customHeight="1" x14ac:dyDescent="0.2">
      <c r="A41" s="295">
        <v>1</v>
      </c>
      <c r="B41" s="291">
        <v>3</v>
      </c>
      <c r="C41" s="291">
        <v>2</v>
      </c>
      <c r="D41" s="291" t="s">
        <v>123</v>
      </c>
      <c r="E41" s="294">
        <v>1</v>
      </c>
      <c r="F41" s="294">
        <v>0.19</v>
      </c>
      <c r="G41" s="294">
        <v>0.14000000000000001</v>
      </c>
      <c r="H41" s="294">
        <v>0.96</v>
      </c>
      <c r="I41" s="294">
        <v>0.79166666666666663</v>
      </c>
      <c r="J41" s="294">
        <v>0.35</v>
      </c>
      <c r="K41" s="294">
        <v>1.5833333333333333</v>
      </c>
      <c r="L41" s="291">
        <v>6</v>
      </c>
      <c r="M41" s="291">
        <v>950</v>
      </c>
      <c r="N41" s="291">
        <v>0.95</v>
      </c>
      <c r="O41" s="291">
        <v>0.22</v>
      </c>
      <c r="P41" s="457">
        <f t="shared" si="1"/>
        <v>1.45546536</v>
      </c>
    </row>
    <row r="42" spans="1:16" ht="15" customHeight="1" x14ac:dyDescent="0.2">
      <c r="A42" s="295">
        <v>1</v>
      </c>
      <c r="B42" s="291">
        <v>3</v>
      </c>
      <c r="C42" s="291">
        <v>3</v>
      </c>
      <c r="D42" s="291" t="s">
        <v>123</v>
      </c>
      <c r="E42" s="294">
        <v>1</v>
      </c>
      <c r="F42" s="294">
        <v>0.19</v>
      </c>
      <c r="G42" s="294">
        <v>0.14000000000000001</v>
      </c>
      <c r="H42" s="294">
        <v>0.96</v>
      </c>
      <c r="I42" s="294">
        <v>0.95</v>
      </c>
      <c r="J42" s="294">
        <v>0.35</v>
      </c>
      <c r="K42" s="294">
        <v>1.9</v>
      </c>
      <c r="L42" s="291">
        <v>5</v>
      </c>
      <c r="M42" s="291">
        <v>950</v>
      </c>
      <c r="N42" s="291">
        <v>0.95</v>
      </c>
      <c r="O42" s="291">
        <v>0.22</v>
      </c>
      <c r="P42" s="457">
        <f t="shared" si="1"/>
        <v>1.45546536</v>
      </c>
    </row>
    <row r="43" spans="1:16" ht="15" customHeight="1" x14ac:dyDescent="0.2">
      <c r="A43" s="295">
        <v>1</v>
      </c>
      <c r="B43" s="291">
        <v>3</v>
      </c>
      <c r="C43" s="291">
        <v>4</v>
      </c>
      <c r="D43" s="291" t="s">
        <v>123</v>
      </c>
      <c r="E43" s="294">
        <v>1</v>
      </c>
      <c r="F43" s="294">
        <v>0.19</v>
      </c>
      <c r="G43" s="294">
        <v>0.14000000000000001</v>
      </c>
      <c r="H43" s="294">
        <v>0.96</v>
      </c>
      <c r="I43" s="294">
        <v>0.79166666666666663</v>
      </c>
      <c r="J43" s="294">
        <v>0.35</v>
      </c>
      <c r="K43" s="294">
        <v>1.5833333333333333</v>
      </c>
      <c r="L43" s="291">
        <v>6</v>
      </c>
      <c r="M43" s="291">
        <v>950</v>
      </c>
      <c r="N43" s="291">
        <v>0.95</v>
      </c>
      <c r="O43" s="291">
        <v>0.22</v>
      </c>
      <c r="P43" s="457">
        <f t="shared" si="1"/>
        <v>1.45546536</v>
      </c>
    </row>
    <row r="44" spans="1:16" ht="15" customHeight="1" x14ac:dyDescent="0.2">
      <c r="A44" s="295">
        <v>1</v>
      </c>
      <c r="B44" s="291">
        <v>4</v>
      </c>
      <c r="C44" s="291">
        <v>1</v>
      </c>
      <c r="D44" s="291" t="s">
        <v>123</v>
      </c>
      <c r="E44" s="294">
        <v>1</v>
      </c>
      <c r="F44" s="294">
        <v>0.19</v>
      </c>
      <c r="G44" s="294">
        <v>0.14000000000000001</v>
      </c>
      <c r="H44" s="294">
        <v>0.96</v>
      </c>
      <c r="I44" s="294">
        <v>0.95</v>
      </c>
      <c r="J44" s="294">
        <v>0.35</v>
      </c>
      <c r="K44" s="294">
        <v>1.9</v>
      </c>
      <c r="L44" s="291">
        <v>5</v>
      </c>
      <c r="M44" s="291">
        <v>950</v>
      </c>
      <c r="N44" s="291">
        <v>0.95</v>
      </c>
      <c r="O44" s="291">
        <v>0.22</v>
      </c>
      <c r="P44" s="457">
        <f t="shared" si="1"/>
        <v>1.45546536</v>
      </c>
    </row>
    <row r="45" spans="1:16" ht="15" customHeight="1" x14ac:dyDescent="0.2">
      <c r="A45" s="295">
        <v>1</v>
      </c>
      <c r="B45" s="291">
        <v>4</v>
      </c>
      <c r="C45" s="291">
        <v>2</v>
      </c>
      <c r="D45" s="291" t="s">
        <v>123</v>
      </c>
      <c r="E45" s="294">
        <v>1</v>
      </c>
      <c r="F45" s="294">
        <v>0.19</v>
      </c>
      <c r="G45" s="294">
        <v>0.14000000000000001</v>
      </c>
      <c r="H45" s="294">
        <v>0.96</v>
      </c>
      <c r="I45" s="294">
        <v>0.79166666666666663</v>
      </c>
      <c r="J45" s="294">
        <v>0.35</v>
      </c>
      <c r="K45" s="294">
        <v>1.5833333333333333</v>
      </c>
      <c r="L45" s="291">
        <v>6</v>
      </c>
      <c r="M45" s="291">
        <v>950</v>
      </c>
      <c r="N45" s="291">
        <v>0.95</v>
      </c>
      <c r="O45" s="291">
        <v>0.22</v>
      </c>
      <c r="P45" s="457">
        <f t="shared" si="1"/>
        <v>1.45546536</v>
      </c>
    </row>
    <row r="46" spans="1:16" ht="15" customHeight="1" x14ac:dyDescent="0.2">
      <c r="A46" s="295">
        <v>1</v>
      </c>
      <c r="B46" s="291">
        <v>4</v>
      </c>
      <c r="C46" s="291">
        <v>3</v>
      </c>
      <c r="D46" s="291" t="s">
        <v>123</v>
      </c>
      <c r="E46" s="294">
        <v>1</v>
      </c>
      <c r="F46" s="294">
        <v>0.19</v>
      </c>
      <c r="G46" s="294">
        <v>0.14000000000000001</v>
      </c>
      <c r="H46" s="294">
        <v>0.96</v>
      </c>
      <c r="I46" s="294">
        <v>0.95</v>
      </c>
      <c r="J46" s="294">
        <v>0.35</v>
      </c>
      <c r="K46" s="294">
        <v>1.9</v>
      </c>
      <c r="L46" s="291">
        <v>5</v>
      </c>
      <c r="M46" s="291">
        <v>950</v>
      </c>
      <c r="N46" s="291">
        <v>0.95</v>
      </c>
      <c r="O46" s="291">
        <v>0.22</v>
      </c>
      <c r="P46" s="457">
        <f t="shared" si="1"/>
        <v>1.45546536</v>
      </c>
    </row>
    <row r="47" spans="1:16" ht="15" customHeight="1" x14ac:dyDescent="0.2">
      <c r="A47" s="295">
        <v>1</v>
      </c>
      <c r="B47" s="291">
        <v>4</v>
      </c>
      <c r="C47" s="291">
        <v>4</v>
      </c>
      <c r="D47" s="291" t="s">
        <v>123</v>
      </c>
      <c r="E47" s="294">
        <v>1</v>
      </c>
      <c r="F47" s="294">
        <v>0.19</v>
      </c>
      <c r="G47" s="294">
        <v>0.14000000000000001</v>
      </c>
      <c r="H47" s="294">
        <v>0.96</v>
      </c>
      <c r="I47" s="294">
        <v>0.79166666666666663</v>
      </c>
      <c r="J47" s="294">
        <v>0.35</v>
      </c>
      <c r="K47" s="294">
        <v>1.5833333333333333</v>
      </c>
      <c r="L47" s="291">
        <v>6</v>
      </c>
      <c r="M47" s="291">
        <v>950</v>
      </c>
      <c r="N47" s="291">
        <v>0.95</v>
      </c>
      <c r="O47" s="291">
        <v>0.22</v>
      </c>
      <c r="P47" s="457">
        <f t="shared" si="1"/>
        <v>1.45546536</v>
      </c>
    </row>
    <row r="48" spans="1:16" ht="15" customHeight="1" x14ac:dyDescent="0.2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5" customHeight="1" x14ac:dyDescent="0.2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" customHeight="1" x14ac:dyDescent="0.2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" customHeight="1" x14ac:dyDescent="0.2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" customHeight="1" x14ac:dyDescent="0.2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5" customHeight="1" x14ac:dyDescent="0.2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" customHeight="1" x14ac:dyDescent="0.2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" customHeight="1" x14ac:dyDescent="0.2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" customHeight="1" x14ac:dyDescent="0.2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" customHeight="1" x14ac:dyDescent="0.2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" customHeight="1" x14ac:dyDescent="0.2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" customHeight="1" x14ac:dyDescent="0.2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5" customHeight="1" x14ac:dyDescent="0.2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5" customHeight="1" x14ac:dyDescent="0.2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5" customHeight="1" x14ac:dyDescent="0.2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" customHeight="1" x14ac:dyDescent="0.2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</row>
    <row r="64" spans="1:16" ht="15" customHeight="1" x14ac:dyDescent="0.2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5" customHeight="1" x14ac:dyDescent="0.2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5" customHeight="1" x14ac:dyDescent="0.2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5" customHeight="1" x14ac:dyDescent="0.2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5" customHeight="1" x14ac:dyDescent="0.2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5" customHeight="1" x14ac:dyDescent="0.2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5" customHeight="1" x14ac:dyDescent="0.2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" customHeight="1" x14ac:dyDescent="0.2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5" customHeight="1" x14ac:dyDescent="0.2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5" customHeight="1" x14ac:dyDescent="0.2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5" customHeight="1" x14ac:dyDescent="0.2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" customHeight="1" x14ac:dyDescent="0.2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</row>
    <row r="76" spans="1:16" ht="15" customHeight="1" x14ac:dyDescent="0.2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</row>
    <row r="77" spans="1:16" ht="15" customHeight="1" x14ac:dyDescent="0.2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</row>
    <row r="78" spans="1:16" ht="15" customHeight="1" x14ac:dyDescent="0.2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</row>
    <row r="79" spans="1:16" ht="15" customHeight="1" x14ac:dyDescent="0.2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</row>
    <row r="80" spans="1:16" ht="15" customHeight="1" x14ac:dyDescent="0.2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</row>
    <row r="81" spans="1:16" ht="15" customHeight="1" x14ac:dyDescent="0.2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</row>
    <row r="82" spans="1:16" ht="15" customHeight="1" x14ac:dyDescent="0.2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</row>
    <row r="83" spans="1:16" ht="15" customHeight="1" x14ac:dyDescent="0.2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</row>
    <row r="84" spans="1:16" ht="15" customHeight="1" x14ac:dyDescent="0.2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</row>
    <row r="85" spans="1:16" ht="15" customHeight="1" x14ac:dyDescent="0.2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</row>
    <row r="86" spans="1:16" ht="15" customHeight="1" x14ac:dyDescent="0.2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</row>
    <row r="87" spans="1:16" ht="15" customHeight="1" x14ac:dyDescent="0.2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</row>
    <row r="88" spans="1:16" ht="15" customHeight="1" x14ac:dyDescent="0.2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</row>
    <row r="89" spans="1:16" ht="15" customHeight="1" x14ac:dyDescent="0.2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</row>
    <row r="90" spans="1:16" ht="15" customHeight="1" x14ac:dyDescent="0.2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</row>
    <row r="91" spans="1:16" ht="15" customHeight="1" x14ac:dyDescent="0.2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</row>
    <row r="92" spans="1:16" ht="15" customHeight="1" x14ac:dyDescent="0.2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</row>
  </sheetData>
  <mergeCells count="28">
    <mergeCell ref="A14:B14"/>
    <mergeCell ref="G12:H12"/>
    <mergeCell ref="A10:C10"/>
    <mergeCell ref="G10:I10"/>
    <mergeCell ref="L10:N10"/>
    <mergeCell ref="A12:B12"/>
    <mergeCell ref="L12:M12"/>
    <mergeCell ref="A29:C29"/>
    <mergeCell ref="L13:M13"/>
    <mergeCell ref="L14:M14"/>
    <mergeCell ref="A23:B23"/>
    <mergeCell ref="G23:H23"/>
    <mergeCell ref="A24:B24"/>
    <mergeCell ref="G24:H24"/>
    <mergeCell ref="A21:B21"/>
    <mergeCell ref="G21:H21"/>
    <mergeCell ref="I21:J21"/>
    <mergeCell ref="A22:B22"/>
    <mergeCell ref="G13:H13"/>
    <mergeCell ref="A15:B15"/>
    <mergeCell ref="A19:C19"/>
    <mergeCell ref="G19:I19"/>
    <mergeCell ref="A13:B13"/>
    <mergeCell ref="X14:Y14"/>
    <mergeCell ref="R13:S13"/>
    <mergeCell ref="X13:Y13"/>
    <mergeCell ref="I24:J24"/>
    <mergeCell ref="R14:S14"/>
  </mergeCells>
  <phoneticPr fontId="0" type="noConversion"/>
  <conditionalFormatting sqref="Q14 W14">
    <cfRule type="expression" dxfId="4" priority="2" stopIfTrue="1">
      <formula>S12=1</formula>
    </cfRule>
  </conditionalFormatting>
  <conditionalFormatting sqref="R14:S14 X14:Y14">
    <cfRule type="expression" dxfId="3" priority="3" stopIfTrue="1">
      <formula>S12=1</formula>
    </cfRule>
  </conditionalFormatting>
  <conditionalFormatting sqref="Z23:Z24">
    <cfRule type="expression" dxfId="2" priority="4" stopIfTrue="1">
      <formula>Y$8=1</formula>
    </cfRule>
  </conditionalFormatting>
  <conditionalFormatting sqref="Z17:Z22">
    <cfRule type="expression" dxfId="1" priority="5" stopIfTrue="1">
      <formula>$K$8=1</formula>
    </cfRule>
  </conditionalFormatting>
  <conditionalFormatting sqref="T14">
    <cfRule type="expression" dxfId="0" priority="1">
      <formula>S12=1</formula>
    </cfRule>
  </conditionalFormatting>
  <dataValidations count="6">
    <dataValidation type="list" allowBlank="1" showInputMessage="1" showErrorMessage="1" sqref="C14" xr:uid="{00000000-0002-0000-0600-000000000000}">
      <formula1>$X$10:$X$16</formula1>
    </dataValidation>
    <dataValidation type="list" allowBlank="1" showInputMessage="1" showErrorMessage="1" sqref="N12" xr:uid="{00000000-0002-0000-0600-000001000000}">
      <formula1>$Z$10:$Z$15</formula1>
    </dataValidation>
    <dataValidation type="list" allowBlank="1" showInputMessage="1" showErrorMessage="1" sqref="D32:D47" xr:uid="{D9B5D9D5-9A7D-4EFD-AE35-51E9DA8F4C20}">
      <formula1>$Y$9:$Y$12</formula1>
    </dataValidation>
    <dataValidation type="list" allowBlank="1" showInputMessage="1" showErrorMessage="1" sqref="X14:Y14" xr:uid="{0257BCE8-D418-41AC-8A94-8B27F7623A81}">
      <formula1>$T$7:$T$10</formula1>
    </dataValidation>
    <dataValidation type="list" allowBlank="1" showInputMessage="1" showErrorMessage="1" sqref="S12 Y12" xr:uid="{962FA80F-25DF-4948-92E7-73178836DA21}">
      <formula1>$P$8:$P$9</formula1>
    </dataValidation>
    <dataValidation type="list" allowBlank="1" showInputMessage="1" showErrorMessage="1" sqref="R14:S14" xr:uid="{86394110-6B71-4135-88E0-B3CEB3331F05}">
      <formula1>$S$7:$S$24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6" r:id="rId4" name="CommandButton_OK">
          <controlPr defaultSize="0" autoLine="0" r:id="rId5">
            <anchor moveWithCells="1">
              <from>
                <xdr:col>14</xdr:col>
                <xdr:colOff>123825</xdr:colOff>
                <xdr:row>10</xdr:row>
                <xdr:rowOff>66675</xdr:rowOff>
              </from>
              <to>
                <xdr:col>14</xdr:col>
                <xdr:colOff>514350</xdr:colOff>
                <xdr:row>11</xdr:row>
                <xdr:rowOff>152400</xdr:rowOff>
              </to>
            </anchor>
          </controlPr>
        </control>
      </mc:Choice>
      <mc:Fallback>
        <control shapeId="5126" r:id="rId4" name="CommandButton_OK"/>
      </mc:Fallback>
    </mc:AlternateContent>
    <mc:AlternateContent xmlns:mc="http://schemas.openxmlformats.org/markup-compatibility/2006">
      <mc:Choice Requires="x14">
        <control shapeId="5127" r:id="rId6" name="Command_Calcul1">
          <controlPr defaultSize="0" autoLine="0" r:id="rId7">
            <anchor moveWithCells="1">
              <from>
                <xdr:col>0</xdr:col>
                <xdr:colOff>323850</xdr:colOff>
                <xdr:row>26</xdr:row>
                <xdr:rowOff>28575</xdr:rowOff>
              </from>
              <to>
                <xdr:col>2</xdr:col>
                <xdr:colOff>485775</xdr:colOff>
                <xdr:row>27</xdr:row>
                <xdr:rowOff>161925</xdr:rowOff>
              </to>
            </anchor>
          </controlPr>
        </control>
      </mc:Choice>
      <mc:Fallback>
        <control shapeId="5127" r:id="rId6" name="Command_Calcul1"/>
      </mc:Fallback>
    </mc:AlternateContent>
    <mc:AlternateContent xmlns:mc="http://schemas.openxmlformats.org/markup-compatibility/2006">
      <mc:Choice Requires="x14">
        <control shapeId="5128" r:id="rId8" name="Command_Visualisation">
          <controlPr defaultSize="0" autoLine="0" r:id="rId9">
            <anchor moveWithCells="1">
              <from>
                <xdr:col>8</xdr:col>
                <xdr:colOff>381000</xdr:colOff>
                <xdr:row>27</xdr:row>
                <xdr:rowOff>66675</xdr:rowOff>
              </from>
              <to>
                <xdr:col>9</xdr:col>
                <xdr:colOff>847725</xdr:colOff>
                <xdr:row>28</xdr:row>
                <xdr:rowOff>152400</xdr:rowOff>
              </to>
            </anchor>
          </controlPr>
        </control>
      </mc:Choice>
      <mc:Fallback>
        <control shapeId="5128" r:id="rId8" name="Command_Visualisation"/>
      </mc:Fallback>
    </mc:AlternateContent>
    <mc:AlternateContent xmlns:mc="http://schemas.openxmlformats.org/markup-compatibility/2006">
      <mc:Choice Requires="x14">
        <control shapeId="5129" r:id="rId10" name="Command_Calcul2">
          <controlPr defaultSize="0" autoLine="0" r:id="rId11">
            <anchor moveWithCells="1">
              <from>
                <xdr:col>2</xdr:col>
                <xdr:colOff>647700</xdr:colOff>
                <xdr:row>26</xdr:row>
                <xdr:rowOff>19050</xdr:rowOff>
              </from>
              <to>
                <xdr:col>4</xdr:col>
                <xdr:colOff>752475</xdr:colOff>
                <xdr:row>27</xdr:row>
                <xdr:rowOff>161925</xdr:rowOff>
              </to>
            </anchor>
          </controlPr>
        </control>
      </mc:Choice>
      <mc:Fallback>
        <control shapeId="5129" r:id="rId10" name="Command_Calcul2"/>
      </mc:Fallback>
    </mc:AlternateContent>
    <mc:AlternateContent xmlns:mc="http://schemas.openxmlformats.org/markup-compatibility/2006">
      <mc:Choice Requires="x14">
        <control shapeId="5130" r:id="rId12" name="Command_Calcul3">
          <controlPr defaultSize="0" autoLine="0" r:id="rId13">
            <anchor moveWithCells="1">
              <from>
                <xdr:col>5</xdr:col>
                <xdr:colOff>0</xdr:colOff>
                <xdr:row>26</xdr:row>
                <xdr:rowOff>19050</xdr:rowOff>
              </from>
              <to>
                <xdr:col>7</xdr:col>
                <xdr:colOff>247650</xdr:colOff>
                <xdr:row>27</xdr:row>
                <xdr:rowOff>161925</xdr:rowOff>
              </to>
            </anchor>
          </controlPr>
        </control>
      </mc:Choice>
      <mc:Fallback>
        <control shapeId="5130" r:id="rId12" name="Command_Calcul3"/>
      </mc:Fallback>
    </mc:AlternateContent>
    <mc:AlternateContent xmlns:mc="http://schemas.openxmlformats.org/markup-compatibility/2006">
      <mc:Choice Requires="x14">
        <control shapeId="5132" r:id="rId14" name="Command_Para_tubes">
          <controlPr defaultSize="0" autoLine="0" r:id="rId15">
            <anchor moveWithCells="1">
              <from>
                <xdr:col>0</xdr:col>
                <xdr:colOff>323850</xdr:colOff>
                <xdr:row>24</xdr:row>
                <xdr:rowOff>95250</xdr:rowOff>
              </from>
              <to>
                <xdr:col>2</xdr:col>
                <xdr:colOff>19050</xdr:colOff>
                <xdr:row>25</xdr:row>
                <xdr:rowOff>161925</xdr:rowOff>
              </to>
            </anchor>
          </controlPr>
        </control>
      </mc:Choice>
      <mc:Fallback>
        <control shapeId="5132" r:id="rId14" name="Command_Para_tubes"/>
      </mc:Fallback>
    </mc:AlternateContent>
    <mc:AlternateContent xmlns:mc="http://schemas.openxmlformats.org/markup-compatibility/2006">
      <mc:Choice Requires="x14">
        <control shapeId="5202" r:id="rId16" name="CommandButton1_bis">
          <controlPr defaultSize="0" autoLine="0" r:id="rId17">
            <anchor moveWithCells="1">
              <from>
                <xdr:col>2</xdr:col>
                <xdr:colOff>219075</xdr:colOff>
                <xdr:row>24</xdr:row>
                <xdr:rowOff>85725</xdr:rowOff>
              </from>
              <to>
                <xdr:col>2</xdr:col>
                <xdr:colOff>781050</xdr:colOff>
                <xdr:row>25</xdr:row>
                <xdr:rowOff>171450</xdr:rowOff>
              </to>
            </anchor>
          </controlPr>
        </control>
      </mc:Choice>
      <mc:Fallback>
        <control shapeId="5202" r:id="rId16" name="CommandButton1_bis"/>
      </mc:Fallback>
    </mc:AlternateContent>
    <mc:AlternateContent xmlns:mc="http://schemas.openxmlformats.org/markup-compatibility/2006">
      <mc:Choice Requires="x14">
        <control shapeId="5211" r:id="rId18" name="CheckBox1">
          <controlPr defaultSize="0" autoLine="0" autoPict="0" r:id="rId19">
            <anchor moveWithCells="1">
              <from>
                <xdr:col>2</xdr:col>
                <xdr:colOff>9525</xdr:colOff>
                <xdr:row>6</xdr:row>
                <xdr:rowOff>133350</xdr:rowOff>
              </from>
              <to>
                <xdr:col>3</xdr:col>
                <xdr:colOff>180975</xdr:colOff>
                <xdr:row>8</xdr:row>
                <xdr:rowOff>57150</xdr:rowOff>
              </to>
            </anchor>
          </controlPr>
        </control>
      </mc:Choice>
      <mc:Fallback>
        <control shapeId="5211" r:id="rId18" name="CheckBox1"/>
      </mc:Fallback>
    </mc:AlternateContent>
    <mc:AlternateContent xmlns:mc="http://schemas.openxmlformats.org/markup-compatibility/2006">
      <mc:Choice Requires="x14">
        <control shapeId="5238" r:id="rId20" name="CommandLine_speed">
          <controlPr defaultSize="0" autoLine="0" autoPict="0" r:id="rId21">
            <anchor moveWithCells="1">
              <from>
                <xdr:col>0</xdr:col>
                <xdr:colOff>66675</xdr:colOff>
                <xdr:row>21</xdr:row>
                <xdr:rowOff>0</xdr:rowOff>
              </from>
              <to>
                <xdr:col>0</xdr:col>
                <xdr:colOff>542925</xdr:colOff>
                <xdr:row>22</xdr:row>
                <xdr:rowOff>38100</xdr:rowOff>
              </to>
            </anchor>
          </controlPr>
        </control>
      </mc:Choice>
      <mc:Fallback>
        <control shapeId="5238" r:id="rId20" name="CommandLine_speed"/>
      </mc:Fallback>
    </mc:AlternateContent>
    <mc:AlternateContent xmlns:mc="http://schemas.openxmlformats.org/markup-compatibility/2006">
      <mc:Choice Requires="x14">
        <control shapeId="5243" r:id="rId22" name="Version">
          <controlPr defaultSize="0" autoLine="0" r:id="rId23">
            <anchor moveWithCells="1">
              <from>
                <xdr:col>9</xdr:col>
                <xdr:colOff>0</xdr:colOff>
                <xdr:row>17</xdr:row>
                <xdr:rowOff>133350</xdr:rowOff>
              </from>
              <to>
                <xdr:col>10</xdr:col>
                <xdr:colOff>9525</xdr:colOff>
                <xdr:row>18</xdr:row>
                <xdr:rowOff>171450</xdr:rowOff>
              </to>
            </anchor>
          </controlPr>
        </control>
      </mc:Choice>
      <mc:Fallback>
        <control shapeId="5243" r:id="rId22" name="Vers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FF3148-CF2C-4317-B9E7-A17032BDDEBE}">
          <x14:formula1>
            <xm:f>Fuels!$B$2:$AH$2</xm:f>
          </x14:formula1>
          <xm:sqref>R13:S13</xm:sqref>
        </x14:dataValidation>
        <x14:dataValidation type="list" allowBlank="1" showInputMessage="1" showErrorMessage="1" xr:uid="{DDD00334-C24A-4D5E-B4C8-F1D313C69B7B}">
          <x14:formula1>
            <xm:f>Comburants!$B$2:$N$2</xm:f>
          </x14:formula1>
          <xm:sqref>X13:Y13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53E47-5CB4-4747-9A4B-CD749FB7BE62}">
  <sheetPr codeName="Feuil27">
    <pageSetUpPr fitToPage="1"/>
  </sheetPr>
  <dimension ref="B1:AM55"/>
  <sheetViews>
    <sheetView topLeftCell="A32" zoomScale="90" zoomScaleNormal="90" workbookViewId="0">
      <selection activeCell="H14" sqref="H14"/>
    </sheetView>
  </sheetViews>
  <sheetFormatPr baseColWidth="10" defaultColWidth="11.42578125" defaultRowHeight="12.75" x14ac:dyDescent="0.2"/>
  <cols>
    <col min="1" max="1" width="8.140625" style="402" customWidth="1"/>
    <col min="2" max="2" width="4.28515625" style="402" customWidth="1"/>
    <col min="3" max="3" width="12.7109375" style="402" customWidth="1"/>
    <col min="4" max="5" width="15.42578125" style="402" customWidth="1"/>
    <col min="6" max="6" width="12.140625" style="402" bestFit="1" customWidth="1"/>
    <col min="7" max="7" width="18.85546875" style="402" bestFit="1" customWidth="1"/>
    <col min="8" max="8" width="16.42578125" style="402" customWidth="1"/>
    <col min="9" max="9" width="16.5703125" style="402" customWidth="1"/>
    <col min="10" max="10" width="16" style="402" customWidth="1"/>
    <col min="11" max="11" width="15.42578125" style="402" bestFit="1" customWidth="1"/>
    <col min="12" max="12" width="1.42578125" style="402" customWidth="1"/>
    <col min="13" max="13" width="21.85546875" style="402" customWidth="1"/>
    <col min="14" max="14" width="5.7109375" style="402" customWidth="1"/>
    <col min="15" max="15" width="11.42578125" style="402"/>
    <col min="16" max="16" width="14.140625" style="402" customWidth="1"/>
    <col min="17" max="18" width="11.42578125" style="402"/>
    <col min="19" max="19" width="12.5703125" style="402" bestFit="1" customWidth="1"/>
    <col min="20" max="20" width="6" style="402" bestFit="1" customWidth="1"/>
    <col min="21" max="25" width="11.42578125" style="402"/>
    <col min="26" max="26" width="11.42578125" style="403"/>
    <col min="27" max="27" width="16.7109375" style="403" customWidth="1"/>
    <col min="28" max="29" width="11.42578125" style="403"/>
    <col min="30" max="16384" width="11.42578125" style="402"/>
  </cols>
  <sheetData>
    <row r="1" spans="2:39" x14ac:dyDescent="0.2"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401"/>
    </row>
    <row r="2" spans="2:39" x14ac:dyDescent="0.2">
      <c r="B2" s="533" t="s">
        <v>902</v>
      </c>
      <c r="C2" s="534"/>
      <c r="D2" s="534"/>
      <c r="E2" s="534"/>
      <c r="F2" s="534"/>
      <c r="G2" s="534"/>
      <c r="H2" s="534"/>
      <c r="I2" s="534"/>
      <c r="J2" s="534"/>
      <c r="K2" s="534"/>
      <c r="L2" s="535"/>
      <c r="M2" s="403"/>
      <c r="N2" s="533" t="s">
        <v>146</v>
      </c>
      <c r="O2" s="534"/>
      <c r="P2" s="534"/>
      <c r="Q2" s="534"/>
      <c r="R2" s="534"/>
      <c r="S2" s="534"/>
      <c r="T2" s="534"/>
      <c r="U2" s="534"/>
      <c r="V2" s="534"/>
      <c r="W2" s="534"/>
      <c r="X2" s="535"/>
      <c r="Y2" s="533"/>
      <c r="Z2" s="534">
        <v>20</v>
      </c>
      <c r="AA2" s="534">
        <v>1076.38705</v>
      </c>
      <c r="AB2" s="534">
        <v>20</v>
      </c>
      <c r="AC2" s="534">
        <v>1234.81071</v>
      </c>
      <c r="AD2" s="534"/>
      <c r="AE2" s="534"/>
      <c r="AF2" s="534"/>
      <c r="AG2" s="534"/>
      <c r="AH2" s="534"/>
      <c r="AI2" s="535"/>
      <c r="AJ2" s="533"/>
      <c r="AK2" s="534"/>
      <c r="AL2" s="534"/>
    </row>
    <row r="3" spans="2:39" x14ac:dyDescent="0.2">
      <c r="B3" s="536"/>
      <c r="C3" s="537"/>
      <c r="D3" s="537"/>
      <c r="E3" s="537"/>
      <c r="F3" s="537"/>
      <c r="G3" s="537"/>
      <c r="H3" s="537"/>
      <c r="I3" s="537"/>
      <c r="J3" s="537"/>
      <c r="K3" s="537"/>
      <c r="L3" s="538"/>
      <c r="M3" s="403"/>
      <c r="N3" s="536" t="s">
        <v>146</v>
      </c>
      <c r="O3" s="537"/>
      <c r="P3" s="537"/>
      <c r="Q3" s="537"/>
      <c r="R3" s="537"/>
      <c r="S3" s="537"/>
      <c r="T3" s="537"/>
      <c r="U3" s="537"/>
      <c r="V3" s="537"/>
      <c r="W3" s="537"/>
      <c r="X3" s="538"/>
      <c r="Y3" s="536"/>
      <c r="Z3" s="537"/>
      <c r="AA3" s="537"/>
      <c r="AB3" s="537"/>
      <c r="AC3" s="537"/>
      <c r="AD3" s="537"/>
      <c r="AE3" s="537"/>
      <c r="AF3" s="537"/>
      <c r="AG3" s="537"/>
      <c r="AH3" s="537"/>
      <c r="AI3" s="538"/>
      <c r="AJ3" s="536"/>
      <c r="AK3" s="537"/>
      <c r="AL3" s="537"/>
      <c r="AM3" s="43"/>
    </row>
    <row r="4" spans="2:39" x14ac:dyDescent="0.2">
      <c r="B4" s="539"/>
      <c r="C4" s="540"/>
      <c r="D4" s="540"/>
      <c r="E4" s="540"/>
      <c r="F4" s="540"/>
      <c r="G4" s="540"/>
      <c r="H4" s="540"/>
      <c r="I4" s="540"/>
      <c r="J4" s="540"/>
      <c r="K4" s="540"/>
      <c r="L4" s="541"/>
      <c r="M4" s="403"/>
      <c r="N4" s="539"/>
      <c r="O4" s="540"/>
      <c r="P4" s="540"/>
      <c r="Q4" s="540"/>
      <c r="R4" s="540"/>
      <c r="S4" s="540"/>
      <c r="T4" s="540"/>
      <c r="U4" s="540"/>
      <c r="V4" s="540"/>
      <c r="W4" s="540"/>
      <c r="X4" s="541"/>
      <c r="Y4" s="539"/>
      <c r="Z4" s="540"/>
      <c r="AA4" s="540"/>
      <c r="AB4" s="540"/>
      <c r="AC4" s="540"/>
      <c r="AD4" s="540"/>
      <c r="AE4" s="540"/>
      <c r="AF4" s="540"/>
      <c r="AG4" s="540"/>
      <c r="AH4" s="540"/>
      <c r="AI4" s="541"/>
      <c r="AJ4" s="539"/>
      <c r="AK4" s="540"/>
      <c r="AL4" s="540"/>
      <c r="AM4" s="41"/>
    </row>
    <row r="5" spans="2:39" ht="15" x14ac:dyDescent="0.2">
      <c r="B5" s="404"/>
      <c r="C5" s="405"/>
      <c r="D5" s="405"/>
      <c r="E5" s="405"/>
      <c r="F5" s="405"/>
      <c r="G5" s="405"/>
      <c r="H5" s="405"/>
      <c r="I5" s="405"/>
      <c r="J5" s="405"/>
      <c r="K5" s="405"/>
      <c r="L5" s="406"/>
      <c r="M5" s="403"/>
      <c r="N5" s="542"/>
      <c r="O5" s="543"/>
      <c r="P5" s="543"/>
      <c r="Q5" s="543"/>
      <c r="R5" s="543"/>
      <c r="S5" s="543"/>
      <c r="T5" s="543"/>
      <c r="U5" s="543"/>
      <c r="V5" s="543"/>
      <c r="W5" s="543"/>
      <c r="X5" s="544"/>
      <c r="Y5" s="542"/>
      <c r="Z5" s="543"/>
      <c r="AA5" s="543"/>
      <c r="AB5" s="543"/>
      <c r="AC5" s="543"/>
      <c r="AD5" s="543"/>
      <c r="AE5" s="543"/>
      <c r="AF5" s="543"/>
      <c r="AG5" s="543"/>
      <c r="AH5" s="543"/>
      <c r="AI5" s="544"/>
      <c r="AJ5" s="542"/>
      <c r="AK5" s="543"/>
      <c r="AL5" s="543"/>
      <c r="AM5" s="427"/>
    </row>
    <row r="6" spans="2:39" ht="15.75" x14ac:dyDescent="0.25">
      <c r="B6" s="407"/>
      <c r="C6" s="408" t="s">
        <v>903</v>
      </c>
      <c r="D6" s="409"/>
      <c r="E6" s="409"/>
      <c r="F6" s="410"/>
      <c r="G6" s="411"/>
      <c r="H6" s="408" t="s">
        <v>928</v>
      </c>
      <c r="I6" s="409"/>
      <c r="J6" s="409"/>
      <c r="K6" s="410"/>
      <c r="L6" s="412"/>
      <c r="M6" s="403"/>
      <c r="N6" s="177" t="s">
        <v>394</v>
      </c>
      <c r="O6" s="55">
        <v>1</v>
      </c>
      <c r="P6" s="55">
        <v>2</v>
      </c>
      <c r="Q6" s="55">
        <v>3</v>
      </c>
      <c r="R6" s="55">
        <v>4</v>
      </c>
      <c r="S6" s="55">
        <v>5</v>
      </c>
      <c r="T6" s="55">
        <v>6</v>
      </c>
      <c r="U6" s="55">
        <v>7</v>
      </c>
      <c r="V6" s="55">
        <v>8</v>
      </c>
      <c r="W6" s="55">
        <v>9</v>
      </c>
      <c r="X6" s="55">
        <v>10</v>
      </c>
      <c r="Y6" s="55">
        <v>11</v>
      </c>
      <c r="Z6" s="55">
        <v>12</v>
      </c>
      <c r="AA6" s="55">
        <v>13</v>
      </c>
      <c r="AB6" s="55">
        <v>14</v>
      </c>
      <c r="AC6" s="55">
        <v>15</v>
      </c>
      <c r="AD6" s="55">
        <v>16</v>
      </c>
      <c r="AE6" s="55">
        <v>17</v>
      </c>
      <c r="AF6" s="55">
        <v>18</v>
      </c>
      <c r="AG6" s="55">
        <v>19</v>
      </c>
      <c r="AH6" s="55">
        <v>20</v>
      </c>
      <c r="AI6" s="55">
        <v>21</v>
      </c>
      <c r="AJ6" s="55">
        <v>22</v>
      </c>
      <c r="AK6" s="55">
        <v>23</v>
      </c>
      <c r="AL6" s="55">
        <v>24</v>
      </c>
      <c r="AM6" s="54"/>
    </row>
    <row r="7" spans="2:39" ht="15.75" x14ac:dyDescent="0.25">
      <c r="B7" s="413"/>
      <c r="C7" s="414"/>
      <c r="D7" s="414"/>
      <c r="E7" s="414"/>
      <c r="F7" s="414"/>
      <c r="G7" s="414"/>
      <c r="H7" s="411"/>
      <c r="I7" s="411"/>
      <c r="J7" s="411"/>
      <c r="K7" s="411"/>
      <c r="L7" s="415"/>
      <c r="N7" s="34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</row>
    <row r="8" spans="2:39" ht="15" x14ac:dyDescent="0.2">
      <c r="B8" s="413"/>
      <c r="C8" s="416" t="s">
        <v>904</v>
      </c>
      <c r="D8" s="411"/>
      <c r="E8" s="417" t="s">
        <v>905</v>
      </c>
      <c r="F8" s="411"/>
      <c r="G8" s="411"/>
      <c r="H8" s="416" t="s">
        <v>929</v>
      </c>
      <c r="I8" s="411"/>
      <c r="J8" s="417"/>
      <c r="K8" s="418" t="s">
        <v>75</v>
      </c>
      <c r="L8" s="415"/>
      <c r="N8" s="54"/>
      <c r="O8" s="54">
        <v>732.29650000000004</v>
      </c>
      <c r="P8" s="54">
        <v>732.29650000000004</v>
      </c>
      <c r="Q8" s="54">
        <v>769.68650000000002</v>
      </c>
      <c r="R8" s="54">
        <v>769.68650000000002</v>
      </c>
      <c r="S8" s="54">
        <v>805.36739999999998</v>
      </c>
      <c r="T8" s="54">
        <v>805.36739999999998</v>
      </c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</row>
    <row r="9" spans="2:39" ht="15" x14ac:dyDescent="0.2">
      <c r="B9" s="413"/>
      <c r="C9" s="416" t="s">
        <v>907</v>
      </c>
      <c r="D9" s="411"/>
      <c r="E9" s="417">
        <v>150</v>
      </c>
      <c r="F9" s="418" t="s">
        <v>226</v>
      </c>
      <c r="G9" s="411"/>
      <c r="H9" s="416" t="s">
        <v>930</v>
      </c>
      <c r="I9" s="411"/>
      <c r="J9" s="417"/>
      <c r="K9" s="418" t="s">
        <v>75</v>
      </c>
      <c r="L9" s="415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</row>
    <row r="10" spans="2:39" ht="15" x14ac:dyDescent="0.2">
      <c r="B10" s="413"/>
      <c r="C10" s="416" t="s">
        <v>906</v>
      </c>
      <c r="D10" s="411"/>
      <c r="E10" s="417">
        <v>2500</v>
      </c>
      <c r="F10" s="418" t="s">
        <v>226</v>
      </c>
      <c r="G10" s="411"/>
      <c r="L10" s="415"/>
      <c r="N10" s="57" t="s">
        <v>130</v>
      </c>
      <c r="O10" s="54">
        <v>721.46609999999998</v>
      </c>
      <c r="P10" s="54">
        <v>741.64589999999998</v>
      </c>
      <c r="Q10" s="54">
        <v>760.20230000000004</v>
      </c>
      <c r="R10" s="54">
        <v>779.46579999999994</v>
      </c>
      <c r="S10" s="54">
        <v>797.40139999999997</v>
      </c>
      <c r="T10" s="54">
        <v>813.93060000000003</v>
      </c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</row>
    <row r="11" spans="2:39" ht="15.75" thickBot="1" x14ac:dyDescent="0.25">
      <c r="B11" s="413"/>
      <c r="C11" s="416" t="s">
        <v>908</v>
      </c>
      <c r="D11" s="411"/>
      <c r="E11" s="417">
        <v>22</v>
      </c>
      <c r="F11" s="418" t="s">
        <v>909</v>
      </c>
      <c r="G11" s="411"/>
      <c r="L11" s="415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</row>
    <row r="12" spans="2:39" ht="16.5" thickTop="1" thickBot="1" x14ac:dyDescent="0.25">
      <c r="B12" s="413"/>
      <c r="C12" s="411"/>
      <c r="D12" s="411"/>
      <c r="E12" s="411"/>
      <c r="F12" s="411"/>
      <c r="G12" s="411"/>
      <c r="H12" s="416"/>
      <c r="I12" s="411"/>
      <c r="J12" s="417"/>
      <c r="K12" s="418"/>
      <c r="L12" s="415"/>
      <c r="N12" s="54"/>
      <c r="O12" s="54">
        <v>710</v>
      </c>
      <c r="P12" s="54">
        <v>750.49680000000001</v>
      </c>
      <c r="Q12" s="54">
        <v>750.49680000000001</v>
      </c>
      <c r="R12" s="284">
        <v>788.99109999999996</v>
      </c>
      <c r="S12" s="54">
        <v>788.99109999999996</v>
      </c>
      <c r="T12" s="54">
        <v>821.92769999999996</v>
      </c>
      <c r="U12" s="54"/>
      <c r="V12" s="191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</row>
    <row r="13" spans="2:39" ht="16.5" thickTop="1" x14ac:dyDescent="0.25">
      <c r="B13" s="413"/>
      <c r="C13" s="408"/>
      <c r="D13" s="409"/>
      <c r="E13" s="409"/>
      <c r="F13" s="410"/>
      <c r="G13" s="411"/>
      <c r="H13" s="411"/>
      <c r="I13" s="411"/>
      <c r="J13" s="417"/>
      <c r="K13" s="411"/>
      <c r="L13" s="415"/>
      <c r="N13" s="193" t="s">
        <v>146</v>
      </c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</row>
    <row r="14" spans="2:39" ht="15" x14ac:dyDescent="0.2">
      <c r="B14" s="413"/>
      <c r="C14" s="411"/>
      <c r="D14" s="411"/>
      <c r="E14" s="411"/>
      <c r="F14" s="411"/>
      <c r="G14" s="411"/>
      <c r="H14" s="416"/>
      <c r="I14" s="411"/>
      <c r="J14" s="417"/>
      <c r="K14" s="418"/>
      <c r="L14" s="415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</row>
    <row r="15" spans="2:39" ht="15" x14ac:dyDescent="0.2">
      <c r="B15" s="413"/>
      <c r="C15" s="416"/>
      <c r="D15" s="411"/>
      <c r="E15" s="417"/>
      <c r="F15" s="418"/>
      <c r="G15" s="411"/>
      <c r="H15" s="411"/>
      <c r="I15" s="411"/>
      <c r="J15" s="417"/>
      <c r="K15" s="411"/>
      <c r="L15" s="415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</row>
    <row r="16" spans="2:39" ht="15" x14ac:dyDescent="0.2">
      <c r="B16" s="413"/>
      <c r="C16" s="416"/>
      <c r="D16" s="411"/>
      <c r="E16" s="417"/>
      <c r="F16" s="418"/>
      <c r="G16" s="411"/>
      <c r="H16" s="416"/>
      <c r="I16" s="411"/>
      <c r="J16" s="417"/>
      <c r="K16" s="418"/>
      <c r="L16" s="415"/>
    </row>
    <row r="17" spans="2:29" ht="15" x14ac:dyDescent="0.2">
      <c r="B17" s="419"/>
      <c r="C17" s="420"/>
      <c r="D17" s="420"/>
      <c r="E17" s="420"/>
      <c r="F17" s="420"/>
      <c r="G17" s="420"/>
      <c r="H17" s="420"/>
      <c r="I17" s="420"/>
      <c r="J17" s="420"/>
      <c r="K17" s="420"/>
      <c r="L17" s="421"/>
    </row>
    <row r="20" spans="2:29" ht="12.75" customHeight="1" x14ac:dyDescent="0.2">
      <c r="B20" s="524" t="s">
        <v>910</v>
      </c>
      <c r="C20" s="525"/>
      <c r="D20" s="525"/>
      <c r="E20" s="525"/>
      <c r="F20" s="525"/>
      <c r="G20" s="525"/>
      <c r="H20" s="525"/>
      <c r="I20" s="525"/>
      <c r="J20" s="525"/>
      <c r="K20" s="525"/>
      <c r="L20" s="526"/>
      <c r="Z20" s="402"/>
      <c r="AA20" s="402"/>
      <c r="AB20" s="402"/>
      <c r="AC20" s="402"/>
    </row>
    <row r="21" spans="2:29" ht="12.75" customHeight="1" x14ac:dyDescent="0.2">
      <c r="B21" s="527"/>
      <c r="C21" s="528"/>
      <c r="D21" s="528"/>
      <c r="E21" s="528"/>
      <c r="F21" s="528"/>
      <c r="G21" s="528"/>
      <c r="H21" s="528"/>
      <c r="I21" s="528"/>
      <c r="J21" s="528"/>
      <c r="K21" s="528"/>
      <c r="L21" s="529"/>
      <c r="Z21" s="402"/>
      <c r="AA21" s="402"/>
      <c r="AB21" s="402"/>
      <c r="AC21" s="402"/>
    </row>
    <row r="22" spans="2:29" ht="12.75" customHeight="1" x14ac:dyDescent="0.2">
      <c r="B22" s="530"/>
      <c r="C22" s="531"/>
      <c r="D22" s="531"/>
      <c r="E22" s="531"/>
      <c r="F22" s="531"/>
      <c r="G22" s="531"/>
      <c r="H22" s="531"/>
      <c r="I22" s="531"/>
      <c r="J22" s="531"/>
      <c r="K22" s="531"/>
      <c r="L22" s="532"/>
      <c r="Z22" s="402"/>
      <c r="AA22" s="402"/>
      <c r="AB22" s="402"/>
      <c r="AC22" s="402"/>
    </row>
    <row r="23" spans="2:29" ht="15" x14ac:dyDescent="0.2">
      <c r="B23" s="428"/>
      <c r="C23" s="429"/>
      <c r="D23" s="429"/>
      <c r="E23" s="429"/>
      <c r="F23" s="429"/>
      <c r="G23" s="429"/>
      <c r="H23" s="429"/>
      <c r="I23" s="429"/>
      <c r="J23" s="429"/>
      <c r="K23" s="429"/>
      <c r="L23" s="430"/>
      <c r="Z23" s="402"/>
      <c r="AA23" s="402"/>
      <c r="AB23" s="402"/>
      <c r="AC23" s="402"/>
    </row>
    <row r="24" spans="2:29" ht="15.75" x14ac:dyDescent="0.25">
      <c r="B24" s="431"/>
      <c r="C24" s="432" t="s">
        <v>911</v>
      </c>
      <c r="D24" s="433"/>
      <c r="E24" s="433"/>
      <c r="F24" s="434"/>
      <c r="G24" s="435"/>
      <c r="H24" s="435"/>
      <c r="I24" s="435"/>
      <c r="J24" s="435"/>
      <c r="K24" s="435"/>
      <c r="L24" s="436"/>
      <c r="Z24" s="402"/>
      <c r="AA24" s="402"/>
      <c r="AB24" s="402"/>
      <c r="AC24" s="402"/>
    </row>
    <row r="25" spans="2:29" ht="15" x14ac:dyDescent="0.2">
      <c r="B25" s="431"/>
      <c r="C25" s="437"/>
      <c r="D25" s="437"/>
      <c r="E25" s="437"/>
      <c r="F25" s="437"/>
      <c r="G25" s="435"/>
      <c r="H25" s="435"/>
      <c r="I25" s="435"/>
      <c r="J25" s="435"/>
      <c r="K25" s="435"/>
      <c r="L25" s="436"/>
      <c r="Z25" s="402"/>
      <c r="AA25" s="402"/>
      <c r="AB25" s="402"/>
      <c r="AC25" s="402"/>
    </row>
    <row r="26" spans="2:29" ht="15" x14ac:dyDescent="0.2">
      <c r="B26" s="431"/>
      <c r="C26" s="438" t="s">
        <v>912</v>
      </c>
      <c r="D26" s="437"/>
      <c r="E26" s="422" t="e">
        <f>(J36-E36)/(#REF!+#REF!)*100</f>
        <v>#REF!</v>
      </c>
      <c r="F26" s="439" t="s">
        <v>76</v>
      </c>
      <c r="G26" s="435"/>
      <c r="H26" s="435"/>
      <c r="I26" s="435"/>
      <c r="J26" s="435"/>
      <c r="K26" s="435"/>
      <c r="L26" s="436"/>
      <c r="Z26" s="402"/>
      <c r="AA26" s="402"/>
      <c r="AB26" s="402"/>
      <c r="AC26" s="402"/>
    </row>
    <row r="27" spans="2:29" ht="15" x14ac:dyDescent="0.2">
      <c r="B27" s="431"/>
      <c r="C27" s="438" t="s">
        <v>913</v>
      </c>
      <c r="D27" s="437"/>
      <c r="E27" s="440"/>
      <c r="F27" s="439" t="s">
        <v>76</v>
      </c>
      <c r="G27" s="435"/>
      <c r="H27" s="435"/>
      <c r="I27" s="435"/>
      <c r="J27" s="435"/>
      <c r="K27" s="435"/>
      <c r="L27" s="436"/>
      <c r="Z27" s="402"/>
      <c r="AA27" s="402"/>
      <c r="AB27" s="402"/>
      <c r="AC27" s="402"/>
    </row>
    <row r="28" spans="2:29" ht="15" x14ac:dyDescent="0.2">
      <c r="B28" s="431"/>
      <c r="C28" s="545" t="s">
        <v>914</v>
      </c>
      <c r="D28" s="546"/>
      <c r="E28" s="440" t="e">
        <f>(#REF!+#REF!)/4.185/(E12*1000/3600)</f>
        <v>#REF!</v>
      </c>
      <c r="F28" s="439" t="s">
        <v>70</v>
      </c>
      <c r="G28" s="435"/>
      <c r="H28" s="435"/>
      <c r="I28" s="435"/>
      <c r="J28" s="435"/>
      <c r="K28" s="435"/>
      <c r="L28" s="436"/>
      <c r="Z28" s="402"/>
      <c r="AA28" s="402"/>
      <c r="AB28" s="402"/>
      <c r="AC28" s="402"/>
    </row>
    <row r="29" spans="2:29" ht="15" x14ac:dyDescent="0.2">
      <c r="B29" s="431"/>
      <c r="C29" s="545"/>
      <c r="D29" s="546"/>
      <c r="E29" s="440" t="e">
        <f>(#REF!+#REF!)/E12</f>
        <v>#REF!</v>
      </c>
      <c r="F29" s="439" t="s">
        <v>915</v>
      </c>
      <c r="G29" s="435"/>
      <c r="H29" s="435"/>
      <c r="I29" s="435"/>
      <c r="J29" s="435"/>
      <c r="K29" s="435"/>
      <c r="L29" s="436"/>
      <c r="Z29" s="402"/>
      <c r="AA29" s="402"/>
      <c r="AB29" s="402"/>
      <c r="AC29" s="402"/>
    </row>
    <row r="30" spans="2:29" ht="15" x14ac:dyDescent="0.2">
      <c r="B30" s="431"/>
      <c r="C30" s="545"/>
      <c r="D30" s="546"/>
      <c r="E30" s="440" t="e">
        <f>E28*4.185</f>
        <v>#REF!</v>
      </c>
      <c r="F30" s="439" t="s">
        <v>916</v>
      </c>
      <c r="G30" s="435"/>
      <c r="H30" s="435"/>
      <c r="I30" s="435"/>
      <c r="J30" s="435"/>
      <c r="K30" s="435"/>
      <c r="L30" s="436"/>
      <c r="Z30" s="402"/>
      <c r="AA30" s="402"/>
      <c r="AB30" s="402"/>
      <c r="AC30" s="402"/>
    </row>
    <row r="31" spans="2:29" ht="15" x14ac:dyDescent="0.2">
      <c r="B31" s="431"/>
      <c r="C31" s="441"/>
      <c r="D31" s="434"/>
      <c r="E31" s="434"/>
      <c r="F31" s="434"/>
      <c r="G31" s="437"/>
      <c r="H31" s="437"/>
      <c r="I31" s="437"/>
      <c r="J31" s="437"/>
      <c r="K31" s="437"/>
      <c r="L31" s="436"/>
      <c r="Z31" s="402"/>
      <c r="AA31" s="402"/>
      <c r="AB31" s="402"/>
      <c r="AC31" s="402"/>
    </row>
    <row r="32" spans="2:29" ht="15" x14ac:dyDescent="0.2">
      <c r="B32" s="431"/>
      <c r="C32" s="437"/>
      <c r="D32" s="437"/>
      <c r="E32" s="442"/>
      <c r="F32" s="437"/>
      <c r="G32" s="437"/>
      <c r="H32" s="437"/>
      <c r="I32" s="437"/>
      <c r="J32" s="437"/>
      <c r="K32" s="437"/>
      <c r="L32" s="436"/>
      <c r="Z32" s="402"/>
      <c r="AA32" s="402"/>
      <c r="AB32" s="402"/>
      <c r="AC32" s="402"/>
    </row>
    <row r="33" spans="2:29" ht="15" x14ac:dyDescent="0.2">
      <c r="B33" s="431"/>
      <c r="C33" s="437"/>
      <c r="D33" s="437"/>
      <c r="E33" s="437"/>
      <c r="F33" s="437"/>
      <c r="G33" s="437"/>
      <c r="H33" s="437"/>
      <c r="I33" s="437"/>
      <c r="J33" s="437"/>
      <c r="K33" s="437"/>
      <c r="L33" s="436"/>
      <c r="Z33" s="402"/>
      <c r="AA33" s="402"/>
      <c r="AB33" s="402"/>
      <c r="AC33" s="402"/>
    </row>
    <row r="34" spans="2:29" ht="15.75" x14ac:dyDescent="0.25">
      <c r="B34" s="431"/>
      <c r="C34" s="432" t="s">
        <v>917</v>
      </c>
      <c r="D34" s="433"/>
      <c r="E34" s="433"/>
      <c r="F34" s="434"/>
      <c r="G34" s="437"/>
      <c r="H34" s="432" t="s">
        <v>918</v>
      </c>
      <c r="I34" s="433"/>
      <c r="J34" s="433"/>
      <c r="K34" s="434"/>
      <c r="L34" s="436"/>
      <c r="Z34" s="402"/>
      <c r="AA34" s="402"/>
      <c r="AB34" s="402"/>
      <c r="AC34" s="402"/>
    </row>
    <row r="35" spans="2:29" ht="15" x14ac:dyDescent="0.2">
      <c r="B35" s="443"/>
      <c r="C35" s="137"/>
      <c r="D35" s="137"/>
      <c r="E35" s="137"/>
      <c r="F35" s="137"/>
      <c r="G35" s="137"/>
      <c r="H35" s="137"/>
      <c r="I35" s="137"/>
      <c r="J35" s="137"/>
      <c r="K35" s="137"/>
      <c r="L35" s="444"/>
      <c r="Z35" s="402"/>
      <c r="AA35" s="402"/>
      <c r="AB35" s="402"/>
      <c r="AC35" s="402"/>
    </row>
    <row r="36" spans="2:29" ht="15" x14ac:dyDescent="0.2">
      <c r="B36" s="443"/>
      <c r="C36" s="438" t="s">
        <v>919</v>
      </c>
      <c r="D36" s="437"/>
      <c r="E36" s="440">
        <v>50.273902199999995</v>
      </c>
      <c r="F36" s="439" t="s">
        <v>74</v>
      </c>
      <c r="G36" s="437"/>
      <c r="H36" s="438" t="s">
        <v>919</v>
      </c>
      <c r="I36" s="437"/>
      <c r="J36" s="440">
        <v>4187.9555799999998</v>
      </c>
      <c r="K36" s="439" t="s">
        <v>74</v>
      </c>
      <c r="L36" s="444"/>
      <c r="Z36" s="402"/>
      <c r="AA36" s="402"/>
      <c r="AB36" s="402"/>
      <c r="AC36" s="402"/>
    </row>
    <row r="37" spans="2:29" ht="15" x14ac:dyDescent="0.2">
      <c r="B37" s="443"/>
      <c r="C37" s="438" t="s">
        <v>920</v>
      </c>
      <c r="D37" s="437"/>
      <c r="E37" s="440"/>
      <c r="F37" s="439"/>
      <c r="G37" s="437"/>
      <c r="H37" s="438" t="s">
        <v>926</v>
      </c>
      <c r="I37" s="437"/>
      <c r="J37" s="440">
        <v>0</v>
      </c>
      <c r="K37" s="439" t="s">
        <v>74</v>
      </c>
      <c r="L37" s="444"/>
      <c r="Z37" s="402"/>
      <c r="AA37" s="402"/>
      <c r="AB37" s="402"/>
      <c r="AC37" s="402"/>
    </row>
    <row r="38" spans="2:29" ht="15" x14ac:dyDescent="0.2">
      <c r="B38" s="443"/>
      <c r="C38" s="445" t="s">
        <v>921</v>
      </c>
      <c r="D38" s="437"/>
      <c r="E38" s="440">
        <v>4.9912657509504683</v>
      </c>
      <c r="F38" s="439" t="s">
        <v>74</v>
      </c>
      <c r="G38" s="437"/>
      <c r="H38" s="438" t="s">
        <v>927</v>
      </c>
      <c r="I38" s="437"/>
      <c r="J38" s="440">
        <v>0</v>
      </c>
      <c r="K38" s="439" t="s">
        <v>239</v>
      </c>
      <c r="L38" s="444"/>
      <c r="Z38" s="402"/>
      <c r="AA38" s="402"/>
      <c r="AB38" s="402"/>
      <c r="AC38" s="402"/>
    </row>
    <row r="39" spans="2:29" ht="15" x14ac:dyDescent="0.2">
      <c r="B39" s="443"/>
      <c r="C39" s="445" t="s">
        <v>922</v>
      </c>
      <c r="D39" s="437"/>
      <c r="E39" s="440">
        <v>48.347987404190441</v>
      </c>
      <c r="F39" s="439" t="s">
        <v>74</v>
      </c>
      <c r="G39" s="437"/>
      <c r="H39" s="446"/>
      <c r="I39" s="437"/>
      <c r="J39" s="440"/>
      <c r="K39" s="439"/>
      <c r="L39" s="444"/>
      <c r="Z39" s="402"/>
      <c r="AA39" s="402"/>
      <c r="AB39" s="402"/>
      <c r="AC39" s="402"/>
    </row>
    <row r="40" spans="2:29" ht="15" x14ac:dyDescent="0.2">
      <c r="B40" s="443"/>
      <c r="C40" s="438" t="s">
        <v>923</v>
      </c>
      <c r="D40" s="437"/>
      <c r="E40" s="440">
        <v>5746.0850799173859</v>
      </c>
      <c r="F40" s="439" t="s">
        <v>74</v>
      </c>
      <c r="G40" s="437"/>
      <c r="H40" s="446"/>
      <c r="I40" s="437"/>
      <c r="J40" s="440"/>
      <c r="K40" s="439"/>
      <c r="L40" s="444"/>
      <c r="Z40" s="402"/>
      <c r="AA40" s="402"/>
      <c r="AB40" s="402"/>
      <c r="AC40" s="402"/>
    </row>
    <row r="41" spans="2:29" ht="15" x14ac:dyDescent="0.2">
      <c r="B41" s="443"/>
      <c r="C41" s="437"/>
      <c r="D41" s="437"/>
      <c r="E41" s="437"/>
      <c r="F41" s="437"/>
      <c r="G41" s="437"/>
      <c r="H41" s="438"/>
      <c r="I41" s="437"/>
      <c r="J41" s="440"/>
      <c r="K41" s="439"/>
      <c r="L41" s="444"/>
      <c r="Z41" s="402"/>
      <c r="AA41" s="402"/>
      <c r="AB41" s="402"/>
      <c r="AC41" s="402"/>
    </row>
    <row r="42" spans="2:29" ht="15.75" x14ac:dyDescent="0.25">
      <c r="B42" s="431"/>
      <c r="C42" s="438"/>
      <c r="D42" s="447" t="s">
        <v>924</v>
      </c>
      <c r="E42" s="423">
        <f>SUM(E36:E40)</f>
        <v>5849.6982352725272</v>
      </c>
      <c r="F42" s="448" t="s">
        <v>74</v>
      </c>
      <c r="G42" s="449" t="s">
        <v>925</v>
      </c>
      <c r="H42" s="438"/>
      <c r="I42" s="447" t="s">
        <v>924</v>
      </c>
      <c r="J42" s="450">
        <f>SUM(J36:J38)</f>
        <v>4187.9555799999998</v>
      </c>
      <c r="K42" s="448" t="s">
        <v>74</v>
      </c>
      <c r="L42" s="436"/>
      <c r="Z42" s="402"/>
      <c r="AA42" s="402"/>
      <c r="AB42" s="402"/>
      <c r="AC42" s="402"/>
    </row>
    <row r="43" spans="2:29" s="426" customFormat="1" ht="26.25" customHeight="1" x14ac:dyDescent="0.2">
      <c r="B43" s="431"/>
      <c r="C43" s="434"/>
      <c r="D43" s="434"/>
      <c r="E43" s="434"/>
      <c r="F43" s="434"/>
      <c r="G43" s="424">
        <f>(J42-E42)/E42</f>
        <v>-0.28407322710298916</v>
      </c>
      <c r="H43" s="434"/>
      <c r="I43" s="434"/>
      <c r="J43" s="425"/>
      <c r="K43" s="425"/>
      <c r="L43" s="436"/>
    </row>
    <row r="44" spans="2:29" ht="15" hidden="1" x14ac:dyDescent="0.2">
      <c r="B44" s="451"/>
      <c r="C44" s="434"/>
      <c r="D44" s="434"/>
      <c r="E44" s="434"/>
      <c r="F44" s="434"/>
      <c r="G44" s="434"/>
      <c r="H44" s="434"/>
      <c r="I44" s="434"/>
      <c r="J44" s="434"/>
      <c r="K44" s="434"/>
      <c r="L44" s="452"/>
      <c r="Z44" s="402"/>
      <c r="AA44" s="402"/>
      <c r="AB44" s="402"/>
      <c r="AC44" s="402"/>
    </row>
    <row r="45" spans="2:29" hidden="1" x14ac:dyDescent="0.2">
      <c r="D45" s="403"/>
      <c r="E45" s="403"/>
      <c r="F45" s="403"/>
      <c r="G45" s="403"/>
      <c r="Z45" s="402"/>
      <c r="AA45" s="402"/>
      <c r="AB45" s="402"/>
      <c r="AC45" s="402"/>
    </row>
    <row r="46" spans="2:29" hidden="1" x14ac:dyDescent="0.2">
      <c r="D46" s="403"/>
      <c r="E46" s="403"/>
      <c r="F46" s="403"/>
      <c r="G46" s="403"/>
      <c r="Z46" s="402"/>
      <c r="AA46" s="402"/>
      <c r="AB46" s="402"/>
      <c r="AC46" s="402"/>
    </row>
    <row r="47" spans="2:29" hidden="1" x14ac:dyDescent="0.2">
      <c r="D47" s="403"/>
      <c r="E47" s="403"/>
      <c r="F47" s="403"/>
      <c r="G47" s="403"/>
      <c r="Z47" s="402"/>
      <c r="AA47" s="402"/>
      <c r="AB47" s="402"/>
      <c r="AC47" s="402"/>
    </row>
    <row r="48" spans="2:29" x14ac:dyDescent="0.2">
      <c r="D48" s="403"/>
      <c r="E48" s="403"/>
      <c r="F48" s="403"/>
      <c r="G48" s="403"/>
      <c r="Z48" s="402"/>
      <c r="AA48" s="402"/>
      <c r="AB48" s="402"/>
      <c r="AC48" s="402"/>
    </row>
    <row r="49" spans="2:29" x14ac:dyDescent="0.2">
      <c r="D49" s="403"/>
      <c r="E49" s="403"/>
      <c r="F49" s="403"/>
      <c r="G49" s="403"/>
      <c r="Z49" s="402"/>
      <c r="AA49" s="402"/>
      <c r="AB49" s="402"/>
      <c r="AC49" s="402"/>
    </row>
    <row r="51" spans="2:29" x14ac:dyDescent="0.2">
      <c r="B51" s="524" t="s">
        <v>931</v>
      </c>
      <c r="C51" s="525"/>
      <c r="D51" s="525"/>
      <c r="E51" s="525"/>
      <c r="F51" s="525"/>
      <c r="G51" s="525"/>
      <c r="H51" s="525"/>
      <c r="I51" s="525"/>
      <c r="J51" s="525"/>
      <c r="K51" s="525"/>
      <c r="L51" s="526"/>
    </row>
    <row r="52" spans="2:29" x14ac:dyDescent="0.2">
      <c r="B52" s="527"/>
      <c r="C52" s="528"/>
      <c r="D52" s="528"/>
      <c r="E52" s="528"/>
      <c r="F52" s="528"/>
      <c r="G52" s="528"/>
      <c r="H52" s="528"/>
      <c r="I52" s="528"/>
      <c r="J52" s="528"/>
      <c r="K52" s="528"/>
      <c r="L52" s="529"/>
    </row>
    <row r="53" spans="2:29" x14ac:dyDescent="0.2">
      <c r="B53" s="530"/>
      <c r="C53" s="531"/>
      <c r="D53" s="531"/>
      <c r="E53" s="531"/>
      <c r="F53" s="531"/>
      <c r="G53" s="531"/>
      <c r="H53" s="531"/>
      <c r="I53" s="531"/>
      <c r="J53" s="531"/>
      <c r="K53" s="531"/>
      <c r="L53" s="532"/>
    </row>
    <row r="55" spans="2:29" x14ac:dyDescent="0.2">
      <c r="C55" s="453" t="s">
        <v>932</v>
      </c>
      <c r="D55" s="453" t="s">
        <v>933</v>
      </c>
      <c r="E55" s="453" t="s">
        <v>934</v>
      </c>
      <c r="F55" s="453" t="s">
        <v>935</v>
      </c>
      <c r="G55" s="453" t="s">
        <v>936</v>
      </c>
      <c r="H55" s="453" t="s">
        <v>937</v>
      </c>
      <c r="I55" s="453" t="s">
        <v>938</v>
      </c>
      <c r="J55" s="453" t="s">
        <v>939</v>
      </c>
      <c r="K55" s="453" t="s">
        <v>940</v>
      </c>
    </row>
  </sheetData>
  <mergeCells count="10">
    <mergeCell ref="B51:L53"/>
    <mergeCell ref="N2:X4"/>
    <mergeCell ref="Y2:AI4"/>
    <mergeCell ref="AJ2:AL4"/>
    <mergeCell ref="N5:X5"/>
    <mergeCell ref="Y5:AI5"/>
    <mergeCell ref="AJ5:AL5"/>
    <mergeCell ref="C28:D30"/>
    <mergeCell ref="B20:L22"/>
    <mergeCell ref="B2:L4"/>
  </mergeCells>
  <pageMargins left="0.78740157499999996" right="0.78740157499999996" top="0.984251969" bottom="0.984251969" header="0.4921259845" footer="0.4921259845"/>
  <pageSetup paperSize="9" scale="34" fitToHeight="0" orientation="landscape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/>
  <dimension ref="A1:AZ163"/>
  <sheetViews>
    <sheetView topLeftCell="A15" zoomScale="85" workbookViewId="0"/>
  </sheetViews>
  <sheetFormatPr baseColWidth="10" defaultColWidth="11.42578125" defaultRowHeight="12.75" x14ac:dyDescent="0.2"/>
  <cols>
    <col min="1" max="1" width="11.42578125" style="40" customWidth="1"/>
    <col min="2" max="2" width="8.28515625" style="40" customWidth="1"/>
    <col min="3" max="3" width="9.28515625" style="40" customWidth="1"/>
    <col min="4" max="4" width="16.28515625" style="40" customWidth="1"/>
    <col min="5" max="5" width="16.85546875" style="40" customWidth="1"/>
    <col min="6" max="6" width="11.42578125" style="41" customWidth="1"/>
    <col min="7" max="7" width="12.85546875" style="41" customWidth="1"/>
    <col min="8" max="8" width="13.85546875" style="40" customWidth="1"/>
    <col min="9" max="9" width="9.85546875" style="40" customWidth="1"/>
    <col min="10" max="10" width="15" style="40" customWidth="1"/>
    <col min="11" max="11" width="10.5703125" style="40" customWidth="1"/>
    <col min="12" max="12" width="12.28515625" style="40" customWidth="1"/>
    <col min="13" max="20" width="11.42578125" style="40" customWidth="1"/>
    <col min="21" max="21" width="19.28515625" style="40" customWidth="1"/>
    <col min="22" max="22" width="11.42578125" style="40" customWidth="1"/>
    <col min="23" max="23" width="14.28515625" style="40" customWidth="1"/>
    <col min="24" max="24" width="23.7109375" style="40" customWidth="1"/>
    <col min="25" max="16384" width="11.42578125" style="40"/>
  </cols>
  <sheetData>
    <row r="1" spans="1:48" s="196" customFormat="1" ht="11.25" customHeight="1" x14ac:dyDescent="0.2">
      <c r="A1" s="219">
        <v>11</v>
      </c>
      <c r="B1" s="219"/>
      <c r="F1" s="195"/>
      <c r="G1" s="195"/>
    </row>
    <row r="2" spans="1:48" s="196" customFormat="1" ht="9.75" customHeight="1" x14ac:dyDescent="0.2">
      <c r="A2" s="219"/>
      <c r="B2" s="219"/>
      <c r="F2" s="195"/>
      <c r="G2" s="195"/>
    </row>
    <row r="3" spans="1:48" s="196" customFormat="1" ht="9.75" customHeight="1" x14ac:dyDescent="0.2">
      <c r="A3" s="219"/>
      <c r="B3" s="219"/>
      <c r="F3" s="195"/>
      <c r="G3" s="195"/>
    </row>
    <row r="4" spans="1:48" s="196" customFormat="1" x14ac:dyDescent="0.2">
      <c r="F4" s="195"/>
      <c r="G4" s="195"/>
    </row>
    <row r="5" spans="1:48" s="196" customFormat="1" x14ac:dyDescent="0.2">
      <c r="F5" s="195"/>
      <c r="G5" s="195"/>
    </row>
    <row r="6" spans="1:48" s="196" customFormat="1" x14ac:dyDescent="0.2">
      <c r="F6" s="195"/>
      <c r="G6" s="195"/>
    </row>
    <row r="7" spans="1:48" s="196" customFormat="1" x14ac:dyDescent="0.2">
      <c r="F7" s="195"/>
      <c r="G7" s="195"/>
      <c r="H7" s="226" t="s">
        <v>122</v>
      </c>
    </row>
    <row r="8" spans="1:48" s="196" customFormat="1" x14ac:dyDescent="0.2">
      <c r="E8" s="250"/>
      <c r="F8" s="195"/>
      <c r="G8" s="195"/>
    </row>
    <row r="9" spans="1:48" s="196" customFormat="1" x14ac:dyDescent="0.2">
      <c r="F9" s="195"/>
      <c r="G9" s="195"/>
    </row>
    <row r="10" spans="1:48" s="43" customFormat="1" ht="18.75" customHeight="1" x14ac:dyDescent="0.25">
      <c r="A10" s="42" t="s">
        <v>355</v>
      </c>
      <c r="D10" s="44" t="s">
        <v>129</v>
      </c>
      <c r="E10" s="42"/>
      <c r="F10" s="45"/>
      <c r="G10" s="46"/>
      <c r="H10" s="47"/>
      <c r="I10" s="42" t="s">
        <v>146</v>
      </c>
    </row>
    <row r="11" spans="1:48" ht="15" customHeight="1" x14ac:dyDescent="0.2">
      <c r="D11" s="48"/>
      <c r="E11" s="49" t="s">
        <v>378</v>
      </c>
      <c r="F11" s="55">
        <v>36873.363001927413</v>
      </c>
      <c r="H11" s="50"/>
      <c r="I11" s="41"/>
      <c r="J11" s="54">
        <v>86.799959999999999</v>
      </c>
      <c r="K11" s="54">
        <v>86.799959999999999</v>
      </c>
      <c r="L11" s="54">
        <v>216.22559999999999</v>
      </c>
      <c r="M11" s="54">
        <v>216.22559999999999</v>
      </c>
      <c r="N11" s="54">
        <v>326.5942</v>
      </c>
      <c r="O11" s="54">
        <v>326.5942</v>
      </c>
      <c r="P11" s="54">
        <v>421.76229999999998</v>
      </c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1:48" ht="15" customHeight="1" x14ac:dyDescent="0.2">
      <c r="A12" s="182" t="s">
        <v>376</v>
      </c>
      <c r="B12" s="178"/>
      <c r="C12" s="51">
        <v>510.8929</v>
      </c>
      <c r="D12" s="48"/>
      <c r="E12" s="49" t="s">
        <v>379</v>
      </c>
      <c r="F12" s="51">
        <v>3318.7613000000006</v>
      </c>
      <c r="G12" s="52" t="s">
        <v>380</v>
      </c>
      <c r="H12" s="53">
        <v>3493.4329473684211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41"/>
      <c r="AT12" s="41"/>
      <c r="AU12" s="41"/>
      <c r="AV12" s="41"/>
    </row>
    <row r="13" spans="1:48" ht="15" customHeight="1" x14ac:dyDescent="0.2">
      <c r="A13" s="178" t="s">
        <v>377</v>
      </c>
      <c r="B13" s="178"/>
      <c r="C13" s="55">
        <v>138.9597</v>
      </c>
      <c r="D13" s="56" t="s">
        <v>127</v>
      </c>
      <c r="E13" s="129" t="s">
        <v>171</v>
      </c>
      <c r="F13" s="129" t="s">
        <v>392</v>
      </c>
      <c r="G13" s="129" t="s">
        <v>381</v>
      </c>
      <c r="H13" s="130" t="s">
        <v>393</v>
      </c>
      <c r="I13" s="177" t="s">
        <v>394</v>
      </c>
      <c r="J13" s="55">
        <v>1</v>
      </c>
      <c r="K13" s="55">
        <v>2</v>
      </c>
      <c r="L13" s="55">
        <v>3</v>
      </c>
      <c r="M13" s="55">
        <v>4</v>
      </c>
      <c r="N13" s="55">
        <v>5</v>
      </c>
      <c r="O13" s="55">
        <v>6</v>
      </c>
      <c r="P13" s="55">
        <v>7</v>
      </c>
      <c r="Q13" s="55">
        <v>8</v>
      </c>
      <c r="R13" s="55">
        <v>9</v>
      </c>
      <c r="S13" s="55">
        <v>10</v>
      </c>
      <c r="T13" s="55">
        <v>11</v>
      </c>
      <c r="U13" s="55">
        <v>12</v>
      </c>
      <c r="V13" s="55">
        <v>13</v>
      </c>
      <c r="W13" s="55">
        <v>14</v>
      </c>
      <c r="X13" s="55">
        <v>15</v>
      </c>
      <c r="Y13" s="55">
        <v>16</v>
      </c>
      <c r="Z13" s="55">
        <v>17</v>
      </c>
      <c r="AA13" s="55">
        <v>18</v>
      </c>
      <c r="AB13" s="55">
        <v>19</v>
      </c>
      <c r="AC13" s="55">
        <v>20</v>
      </c>
      <c r="AD13" s="55">
        <v>21</v>
      </c>
      <c r="AE13" s="55">
        <v>22</v>
      </c>
      <c r="AF13" s="55">
        <v>23</v>
      </c>
      <c r="AG13" s="55">
        <v>24</v>
      </c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41"/>
      <c r="AT13" s="41"/>
      <c r="AU13" s="41"/>
      <c r="AV13" s="41"/>
    </row>
    <row r="14" spans="1:48" ht="15" customHeight="1" x14ac:dyDescent="0.25">
      <c r="D14" s="48" t="e">
        <f>IF('Furnace design'!#REF!="","",'Furnace design'!#REF!)</f>
        <v>#REF!</v>
      </c>
      <c r="E14" s="287" t="s">
        <v>466</v>
      </c>
      <c r="F14" s="288">
        <v>37.219159999999995</v>
      </c>
      <c r="G14" s="289">
        <v>3.8250112245267318</v>
      </c>
      <c r="H14" s="53" t="e">
        <f>IF(D14="","",($F$11*G14)/3600)</f>
        <v>#REF!</v>
      </c>
      <c r="I14" s="34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54"/>
      <c r="AQ14" s="54"/>
      <c r="AR14" s="54"/>
      <c r="AS14" s="41"/>
      <c r="AT14" s="41"/>
      <c r="AU14" s="41"/>
      <c r="AV14" s="41"/>
    </row>
    <row r="15" spans="1:48" ht="15" customHeight="1" x14ac:dyDescent="0.2">
      <c r="D15" s="48" t="e">
        <f>IF('Furnace design'!#REF!="","",'Furnace design'!#REF!)</f>
        <v>#REF!</v>
      </c>
      <c r="E15" s="287" t="s">
        <v>467</v>
      </c>
      <c r="F15" s="288">
        <v>48.963466666666662</v>
      </c>
      <c r="G15" s="289">
        <v>5.0319730373211122</v>
      </c>
      <c r="H15" s="53" t="e">
        <f t="shared" ref="H15:H21" si="0">IF(D15="","",($F$11*G15)/3600)</f>
        <v>#REF!</v>
      </c>
      <c r="I15" s="54"/>
      <c r="J15" s="54">
        <v>732.29650000000004</v>
      </c>
      <c r="K15" s="54">
        <v>732.29650000000004</v>
      </c>
      <c r="L15" s="54">
        <v>769.68650000000002</v>
      </c>
      <c r="M15" s="54">
        <v>769.68650000000002</v>
      </c>
      <c r="N15" s="54">
        <v>805.36739999999998</v>
      </c>
      <c r="O15" s="54">
        <v>805.36739999999998</v>
      </c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41"/>
      <c r="AT15" s="41"/>
      <c r="AU15" s="41"/>
      <c r="AV15" s="41"/>
    </row>
    <row r="16" spans="1:48" ht="15" customHeight="1" x14ac:dyDescent="0.2">
      <c r="D16" s="48" t="e">
        <f>IF('Furnace design'!#REF!="","",'Furnace design'!#REF!)</f>
        <v>#REF!</v>
      </c>
      <c r="E16" s="287" t="s">
        <v>468</v>
      </c>
      <c r="F16" s="288">
        <v>51.298960000000001</v>
      </c>
      <c r="G16" s="289">
        <v>5.2719915711839773</v>
      </c>
      <c r="H16" s="53" t="e">
        <f t="shared" si="0"/>
        <v>#REF!</v>
      </c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41"/>
      <c r="AT16" s="41"/>
      <c r="AU16" s="41"/>
      <c r="AV16" s="41"/>
    </row>
    <row r="17" spans="1:52" ht="15" customHeight="1" x14ac:dyDescent="0.2">
      <c r="D17" s="48" t="e">
        <f>IF('Furnace design'!#REF!="","",'Furnace design'!#REF!)</f>
        <v>#REF!</v>
      </c>
      <c r="E17" s="287" t="s">
        <v>469</v>
      </c>
      <c r="F17" s="288">
        <v>30.136733333333332</v>
      </c>
      <c r="G17" s="289">
        <v>3.0971505877770724</v>
      </c>
      <c r="H17" s="53" t="e">
        <f t="shared" si="0"/>
        <v>#REF!</v>
      </c>
      <c r="I17" s="57" t="s">
        <v>130</v>
      </c>
      <c r="J17" s="54">
        <v>721.46609999999998</v>
      </c>
      <c r="K17" s="54">
        <v>741.64589999999998</v>
      </c>
      <c r="L17" s="54">
        <v>760.20230000000004</v>
      </c>
      <c r="M17" s="54">
        <v>779.46579999999994</v>
      </c>
      <c r="N17" s="54">
        <v>797.40139999999997</v>
      </c>
      <c r="O17" s="54">
        <v>813.93060000000003</v>
      </c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41"/>
      <c r="AT17" s="41"/>
      <c r="AU17" s="41"/>
      <c r="AV17" s="41"/>
    </row>
    <row r="18" spans="1:52" ht="15" customHeight="1" thickBot="1" x14ac:dyDescent="0.25">
      <c r="D18" s="48" t="e">
        <f>IF('Furnace design'!#REF!="","",'Furnace design'!#REF!)</f>
        <v>#REF!</v>
      </c>
      <c r="E18" s="287" t="s">
        <v>470</v>
      </c>
      <c r="F18" s="288">
        <v>37.499020000000002</v>
      </c>
      <c r="G18" s="289">
        <v>3.8537724228261041</v>
      </c>
      <c r="H18" s="53" t="e">
        <f t="shared" si="0"/>
        <v>#REF!</v>
      </c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41"/>
      <c r="AT18" s="41"/>
      <c r="AU18" s="41"/>
      <c r="AV18" s="41"/>
    </row>
    <row r="19" spans="1:52" ht="15" customHeight="1" thickTop="1" thickBot="1" x14ac:dyDescent="0.25">
      <c r="D19" s="48" t="e">
        <f>IF('Furnace design'!#REF!="","",'Furnace design'!#REF!)</f>
        <v>#REF!</v>
      </c>
      <c r="E19" s="287" t="s">
        <v>471</v>
      </c>
      <c r="F19" s="288">
        <v>49.327983333333336</v>
      </c>
      <c r="G19" s="289">
        <v>5.0694343970489282</v>
      </c>
      <c r="H19" s="53" t="e">
        <f t="shared" si="0"/>
        <v>#REF!</v>
      </c>
      <c r="I19" s="54"/>
      <c r="J19" s="54">
        <v>710</v>
      </c>
      <c r="K19" s="54">
        <v>750.49680000000001</v>
      </c>
      <c r="L19" s="54">
        <v>750.49680000000001</v>
      </c>
      <c r="M19" s="284">
        <v>788.99109999999996</v>
      </c>
      <c r="N19" s="54">
        <v>788.99109999999996</v>
      </c>
      <c r="O19" s="54">
        <v>821.92769999999996</v>
      </c>
      <c r="P19" s="54"/>
      <c r="Q19" s="191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41"/>
      <c r="AT19" s="41"/>
      <c r="AU19" s="41"/>
      <c r="AV19" s="41"/>
    </row>
    <row r="20" spans="1:52" ht="15" customHeight="1" thickTop="1" x14ac:dyDescent="0.25">
      <c r="D20" s="48" t="e">
        <f>IF('Furnace design'!#REF!="","",'Furnace design'!#REF!)</f>
        <v>#REF!</v>
      </c>
      <c r="E20" s="287" t="s">
        <v>472</v>
      </c>
      <c r="F20" s="288">
        <v>51.209159999999997</v>
      </c>
      <c r="G20" s="289">
        <v>5.2627628296443367</v>
      </c>
      <c r="H20" s="53" t="e">
        <f t="shared" si="0"/>
        <v>#REF!</v>
      </c>
      <c r="I20" s="193" t="s">
        <v>146</v>
      </c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2"/>
      <c r="Y20" s="192"/>
      <c r="Z20" s="192"/>
      <c r="AA20" s="192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92"/>
      <c r="AM20" s="192"/>
      <c r="AN20" s="192"/>
      <c r="AO20" s="192"/>
      <c r="AP20" s="58"/>
      <c r="AQ20" s="58"/>
      <c r="AR20" s="58"/>
      <c r="AS20" s="59"/>
      <c r="AT20" s="59"/>
      <c r="AU20" s="59"/>
      <c r="AV20" s="59"/>
      <c r="AW20" s="60"/>
      <c r="AX20" s="60"/>
      <c r="AY20" s="60"/>
      <c r="AZ20" s="60"/>
    </row>
    <row r="21" spans="1:52" ht="15" customHeight="1" x14ac:dyDescent="0.2">
      <c r="D21" s="48" t="e">
        <f>IF('Furnace design'!#REF!="","",'Furnace design'!#REF!)</f>
        <v>#REF!</v>
      </c>
      <c r="E21" s="287" t="s">
        <v>473</v>
      </c>
      <c r="F21" s="288">
        <v>29.163033333333335</v>
      </c>
      <c r="G21" s="289">
        <v>2.9970834871406891</v>
      </c>
      <c r="H21" s="53" t="e">
        <f t="shared" si="0"/>
        <v>#REF!</v>
      </c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41"/>
      <c r="AT21" s="41"/>
      <c r="AU21" s="41"/>
      <c r="AV21" s="41"/>
    </row>
    <row r="22" spans="1:52" ht="15" customHeight="1" x14ac:dyDescent="0.2">
      <c r="D22" s="48" t="e">
        <f>IF('Furnace design'!#REF!="","",'Furnace design'!#REF!)</f>
        <v>#REF!</v>
      </c>
      <c r="E22" s="287" t="s">
        <v>474</v>
      </c>
      <c r="F22" s="288">
        <v>32.127299999999998</v>
      </c>
      <c r="G22" s="289">
        <v>3.3017210252390883</v>
      </c>
      <c r="H22" s="53" t="e">
        <f>IF(D22="","",($F$11*G22)/3600)</f>
        <v>#REF!</v>
      </c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41"/>
      <c r="AT22" s="41"/>
      <c r="AU22" s="41"/>
      <c r="AV22" s="41"/>
    </row>
    <row r="23" spans="1:52" s="43" customFormat="1" ht="17.25" customHeight="1" x14ac:dyDescent="0.25">
      <c r="A23" s="40"/>
      <c r="B23" s="40"/>
      <c r="C23" s="40"/>
      <c r="D23" s="48" t="e">
        <f>IF('Furnace design'!#REF!="","",'Furnace design'!#REF!)</f>
        <v>#REF!</v>
      </c>
      <c r="E23" s="287" t="s">
        <v>475</v>
      </c>
      <c r="F23" s="288">
        <v>40.006933333333336</v>
      </c>
      <c r="G23" s="289">
        <v>4.1115105515248782</v>
      </c>
      <c r="H23" s="53" t="e">
        <f t="shared" ref="H23:H65" si="1">IF(D23="","",($F$11*G23)/3600)</f>
        <v>#REF!</v>
      </c>
      <c r="I23" s="179" t="s">
        <v>359</v>
      </c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552" t="s">
        <v>437</v>
      </c>
      <c r="V23" s="553"/>
      <c r="W23" s="553"/>
      <c r="X23" s="554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45"/>
      <c r="AT23" s="45"/>
      <c r="AU23" s="45"/>
      <c r="AV23" s="45"/>
    </row>
    <row r="24" spans="1:52" ht="18" customHeight="1" x14ac:dyDescent="0.2">
      <c r="D24" s="48" t="e">
        <f>IF('Furnace design'!#REF!="","",'Furnace design'!#REF!)</f>
        <v>#REF!</v>
      </c>
      <c r="E24" s="287" t="s">
        <v>476</v>
      </c>
      <c r="F24" s="288">
        <v>40.722279999999998</v>
      </c>
      <c r="G24" s="289">
        <v>4.1850266929269884</v>
      </c>
      <c r="H24" s="53" t="e">
        <f t="shared" si="1"/>
        <v>#REF!</v>
      </c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253" t="s">
        <v>435</v>
      </c>
      <c r="V24" s="254" t="s">
        <v>431</v>
      </c>
      <c r="W24" s="254" t="s">
        <v>432</v>
      </c>
      <c r="X24" s="255" t="s">
        <v>433</v>
      </c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41"/>
      <c r="AT24" s="41"/>
      <c r="AU24" s="41"/>
      <c r="AV24" s="41"/>
    </row>
    <row r="25" spans="1:52" ht="15" customHeight="1" x14ac:dyDescent="0.2">
      <c r="D25" s="48" t="e">
        <f>IF('Furnace design'!#REF!="","",'Furnace design'!#REF!)</f>
        <v>#REF!</v>
      </c>
      <c r="E25" s="287" t="s">
        <v>477</v>
      </c>
      <c r="F25" s="288">
        <v>24.254450000000002</v>
      </c>
      <c r="G25" s="289">
        <v>2.4926286217830387</v>
      </c>
      <c r="H25" s="53" t="e">
        <f t="shared" si="1"/>
        <v>#REF!</v>
      </c>
      <c r="I25" s="54"/>
      <c r="J25" s="555" t="s">
        <v>125</v>
      </c>
      <c r="K25" s="556"/>
      <c r="L25" s="54">
        <f>'Furnace design'!C21</f>
        <v>98.3</v>
      </c>
      <c r="M25" s="38" t="s">
        <v>126</v>
      </c>
      <c r="N25" s="183"/>
      <c r="O25" s="54"/>
      <c r="P25" s="54"/>
      <c r="Q25" s="54"/>
      <c r="R25" s="54"/>
      <c r="S25" s="54"/>
      <c r="T25" s="54"/>
      <c r="U25" s="256">
        <v>1</v>
      </c>
      <c r="V25" s="54">
        <v>3493.4329473684211</v>
      </c>
      <c r="W25" s="54">
        <v>341.06893395834106</v>
      </c>
      <c r="X25" s="252">
        <v>4232.9311106504201</v>
      </c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41"/>
      <c r="AT25" s="41"/>
      <c r="AU25" s="41"/>
      <c r="AV25" s="41"/>
    </row>
    <row r="26" spans="1:52" ht="15" customHeight="1" x14ac:dyDescent="0.2">
      <c r="D26" s="48" t="e">
        <f>IF('Furnace design'!#REF!="","",'Furnace design'!#REF!)</f>
        <v>#REF!</v>
      </c>
      <c r="E26" s="287" t="s">
        <v>478</v>
      </c>
      <c r="F26" s="288">
        <v>30.946000000000002</v>
      </c>
      <c r="G26" s="289">
        <v>3.1803188829141833</v>
      </c>
      <c r="H26" s="53" t="e">
        <f t="shared" si="1"/>
        <v>#REF!</v>
      </c>
      <c r="I26" s="54"/>
      <c r="J26" s="555" t="s">
        <v>345</v>
      </c>
      <c r="K26" s="556"/>
      <c r="L26" s="54">
        <f>'Furnace design'!C23</f>
        <v>20</v>
      </c>
      <c r="M26" s="38" t="s">
        <v>374</v>
      </c>
      <c r="N26" s="183"/>
      <c r="O26" s="54"/>
      <c r="P26" s="54"/>
      <c r="Q26" s="54"/>
      <c r="R26" s="54"/>
      <c r="S26" s="54"/>
      <c r="T26" s="54"/>
      <c r="U26" s="256">
        <v>2</v>
      </c>
      <c r="V26" s="54">
        <v>0</v>
      </c>
      <c r="W26" s="54">
        <v>0</v>
      </c>
      <c r="X26" s="252">
        <v>0</v>
      </c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41"/>
      <c r="AT26" s="41"/>
      <c r="AU26" s="41"/>
      <c r="AV26" s="41"/>
    </row>
    <row r="27" spans="1:52" ht="15" customHeight="1" x14ac:dyDescent="0.2">
      <c r="D27" s="48" t="e">
        <f>IF('Furnace design'!#REF!="","",'Furnace design'!#REF!)</f>
        <v>#REF!</v>
      </c>
      <c r="E27" s="287" t="s">
        <v>479</v>
      </c>
      <c r="F27" s="288">
        <v>39.916933333333333</v>
      </c>
      <c r="G27" s="289">
        <v>4.1022612559951721</v>
      </c>
      <c r="H27" s="53" t="e">
        <f t="shared" si="1"/>
        <v>#REF!</v>
      </c>
      <c r="I27" s="54"/>
      <c r="J27" s="555" t="s">
        <v>364</v>
      </c>
      <c r="K27" s="556"/>
      <c r="L27" s="54">
        <v>821.92769999999996</v>
      </c>
      <c r="M27" s="38" t="s">
        <v>374</v>
      </c>
      <c r="N27" s="183"/>
      <c r="O27" s="54"/>
      <c r="P27" s="54">
        <f>L32</f>
        <v>3493.4329473684211</v>
      </c>
      <c r="Q27" s="54"/>
      <c r="R27" s="54"/>
      <c r="S27" s="54"/>
      <c r="T27" s="54"/>
      <c r="U27" s="256">
        <v>3</v>
      </c>
      <c r="V27" s="54">
        <v>0</v>
      </c>
      <c r="W27" s="54">
        <v>0</v>
      </c>
      <c r="X27" s="252">
        <v>0</v>
      </c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41"/>
      <c r="AT27" s="41"/>
      <c r="AU27" s="41"/>
      <c r="AV27" s="41"/>
    </row>
    <row r="28" spans="1:52" ht="15" customHeight="1" x14ac:dyDescent="0.2">
      <c r="D28" s="48" t="e">
        <f>IF('Furnace design'!#REF!="","",'Furnace design'!#REF!)</f>
        <v>#REF!</v>
      </c>
      <c r="E28" s="287" t="s">
        <v>480</v>
      </c>
      <c r="F28" s="288">
        <v>40.674959999999999</v>
      </c>
      <c r="G28" s="289">
        <v>4.1801636188773701</v>
      </c>
      <c r="H28" s="53" t="e">
        <f t="shared" si="1"/>
        <v>#REF!</v>
      </c>
      <c r="I28" s="54"/>
      <c r="J28" s="547" t="s">
        <v>365</v>
      </c>
      <c r="K28" s="548"/>
      <c r="L28" s="54">
        <f>F12-L31</f>
        <v>2807.8684000000007</v>
      </c>
      <c r="M28" s="178" t="s">
        <v>382</v>
      </c>
      <c r="N28" s="184"/>
      <c r="O28" s="54" t="s">
        <v>146</v>
      </c>
      <c r="P28" s="54">
        <f>L28</f>
        <v>2807.8684000000007</v>
      </c>
      <c r="Q28" s="54"/>
      <c r="R28" s="54"/>
      <c r="S28" s="54"/>
      <c r="T28" s="54"/>
      <c r="U28" s="256">
        <v>4</v>
      </c>
      <c r="V28" s="54">
        <v>0</v>
      </c>
      <c r="W28" s="54">
        <v>0</v>
      </c>
      <c r="X28" s="252">
        <v>0</v>
      </c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41"/>
      <c r="AT28" s="41"/>
      <c r="AU28" s="41"/>
      <c r="AV28" s="41"/>
    </row>
    <row r="29" spans="1:52" ht="15" customHeight="1" x14ac:dyDescent="0.2">
      <c r="D29" s="48" t="e">
        <f>IF('Furnace design'!#REF!="","",'Furnace design'!#REF!)</f>
        <v>#REF!</v>
      </c>
      <c r="E29" s="287" t="s">
        <v>481</v>
      </c>
      <c r="F29" s="288">
        <v>23.27665</v>
      </c>
      <c r="G29" s="289">
        <v>2.3921401643503013</v>
      </c>
      <c r="H29" s="53" t="e">
        <f t="shared" si="1"/>
        <v>#REF!</v>
      </c>
      <c r="I29" s="54"/>
      <c r="J29" s="547" t="s">
        <v>357</v>
      </c>
      <c r="K29" s="548"/>
      <c r="L29" s="54">
        <v>4232.9311106504201</v>
      </c>
      <c r="M29" s="178" t="s">
        <v>383</v>
      </c>
      <c r="N29" s="54"/>
      <c r="O29" s="54" t="s">
        <v>369</v>
      </c>
      <c r="P29" s="54">
        <f>H12-F12</f>
        <v>174.67164736842051</v>
      </c>
      <c r="Q29" s="54"/>
      <c r="R29" s="54"/>
      <c r="S29" s="54"/>
      <c r="T29" s="54"/>
      <c r="U29" s="256">
        <v>5</v>
      </c>
      <c r="V29" s="54">
        <v>0</v>
      </c>
      <c r="W29" s="54">
        <v>0</v>
      </c>
      <c r="X29" s="252">
        <v>0</v>
      </c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41"/>
      <c r="AT29" s="41"/>
      <c r="AU29" s="41"/>
      <c r="AV29" s="41"/>
    </row>
    <row r="30" spans="1:52" ht="15" customHeight="1" x14ac:dyDescent="0.2">
      <c r="D30" s="48" t="e">
        <f>IF('Furnace design'!#REF!="","",'Furnace design'!#REF!)</f>
        <v>#REF!</v>
      </c>
      <c r="E30" s="287"/>
      <c r="F30" s="288"/>
      <c r="G30" s="289"/>
      <c r="H30" s="53" t="e">
        <f t="shared" si="1"/>
        <v>#REF!</v>
      </c>
      <c r="I30" s="54"/>
      <c r="J30" s="547" t="s">
        <v>366</v>
      </c>
      <c r="K30" s="548"/>
      <c r="L30" s="54">
        <v>341.06893395834106</v>
      </c>
      <c r="M30" s="178" t="s">
        <v>383</v>
      </c>
      <c r="N30" s="184"/>
      <c r="O30" s="63" t="s">
        <v>370</v>
      </c>
      <c r="P30" s="54">
        <f>L31</f>
        <v>510.8929</v>
      </c>
      <c r="Q30" s="54"/>
      <c r="R30" s="54"/>
      <c r="S30" s="62"/>
      <c r="T30" s="54"/>
      <c r="U30" s="256">
        <v>6</v>
      </c>
      <c r="V30" s="54">
        <v>0</v>
      </c>
      <c r="W30" s="54">
        <v>0</v>
      </c>
      <c r="X30" s="252">
        <v>0</v>
      </c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41"/>
      <c r="AT30" s="41"/>
      <c r="AU30" s="41"/>
      <c r="AV30" s="41"/>
    </row>
    <row r="31" spans="1:52" ht="15" customHeight="1" x14ac:dyDescent="0.2">
      <c r="D31" s="48" t="e">
        <f>IF('Furnace design'!#REF!="","",'Furnace design'!#REF!)</f>
        <v>#REF!</v>
      </c>
      <c r="E31" s="287"/>
      <c r="F31" s="288"/>
      <c r="G31" s="289"/>
      <c r="H31" s="53" t="e">
        <f t="shared" si="1"/>
        <v>#REF!</v>
      </c>
      <c r="I31" s="54"/>
      <c r="J31" s="547" t="s">
        <v>367</v>
      </c>
      <c r="K31" s="549"/>
      <c r="L31" s="54">
        <f>C12</f>
        <v>510.8929</v>
      </c>
      <c r="M31" s="178" t="s">
        <v>382</v>
      </c>
      <c r="N31" s="184"/>
      <c r="O31" s="54"/>
      <c r="P31" s="54"/>
      <c r="Q31" s="54"/>
      <c r="R31" s="54"/>
      <c r="S31" s="54"/>
      <c r="T31" s="54"/>
      <c r="U31" s="256">
        <v>7</v>
      </c>
      <c r="V31" s="54">
        <v>0</v>
      </c>
      <c r="W31" s="54">
        <v>0</v>
      </c>
      <c r="X31" s="252">
        <v>0</v>
      </c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41"/>
      <c r="AT31" s="41"/>
      <c r="AU31" s="41"/>
      <c r="AV31" s="41"/>
    </row>
    <row r="32" spans="1:52" ht="15" customHeight="1" x14ac:dyDescent="0.2">
      <c r="D32" s="48" t="e">
        <f>IF('Furnace design'!#REF!="","",'Furnace design'!#REF!)</f>
        <v>#REF!</v>
      </c>
      <c r="E32" s="287"/>
      <c r="F32" s="288"/>
      <c r="G32" s="289"/>
      <c r="H32" s="53" t="e">
        <f t="shared" si="1"/>
        <v>#REF!</v>
      </c>
      <c r="I32" s="54"/>
      <c r="J32" s="547" t="s">
        <v>368</v>
      </c>
      <c r="K32" s="548"/>
      <c r="L32" s="54">
        <f>H12</f>
        <v>3493.4329473684211</v>
      </c>
      <c r="M32" s="178" t="s">
        <v>382</v>
      </c>
      <c r="N32" s="184"/>
      <c r="O32" s="54"/>
      <c r="P32" s="54"/>
      <c r="Q32" s="54"/>
      <c r="R32" s="54"/>
      <c r="S32" s="54"/>
      <c r="T32" s="54"/>
      <c r="U32" s="256">
        <v>8</v>
      </c>
      <c r="V32" s="54">
        <v>0</v>
      </c>
      <c r="W32" s="54">
        <v>0</v>
      </c>
      <c r="X32" s="252">
        <v>0</v>
      </c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41"/>
      <c r="AT32" s="41"/>
      <c r="AU32" s="41"/>
      <c r="AV32" s="41"/>
    </row>
    <row r="33" spans="4:48" ht="15" customHeight="1" x14ac:dyDescent="0.2">
      <c r="D33" s="48" t="e">
        <f>IF('Furnace design'!#REF!="","",'Furnace design'!#REF!)</f>
        <v>#REF!</v>
      </c>
      <c r="E33" s="287"/>
      <c r="F33" s="288"/>
      <c r="G33" s="289"/>
      <c r="H33" s="53" t="e">
        <f t="shared" si="1"/>
        <v>#REF!</v>
      </c>
      <c r="I33" s="54"/>
      <c r="J33" s="547" t="s">
        <v>358</v>
      </c>
      <c r="K33" s="548"/>
      <c r="L33" s="54">
        <f>L32/(L25/3600)*0.001</f>
        <v>127.9385413074905</v>
      </c>
      <c r="M33" s="178" t="s">
        <v>384</v>
      </c>
      <c r="N33" s="184"/>
      <c r="O33" s="54"/>
      <c r="P33" s="54"/>
      <c r="Q33" s="54"/>
      <c r="R33" s="54"/>
      <c r="S33" s="54"/>
      <c r="T33" s="54"/>
      <c r="U33" s="256">
        <v>9</v>
      </c>
      <c r="V33" s="54">
        <v>0</v>
      </c>
      <c r="W33" s="54">
        <v>0</v>
      </c>
      <c r="X33" s="252">
        <v>0</v>
      </c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41"/>
      <c r="AT33" s="41"/>
      <c r="AU33" s="41"/>
      <c r="AV33" s="41"/>
    </row>
    <row r="34" spans="4:48" ht="15" customHeight="1" x14ac:dyDescent="0.2">
      <c r="D34" s="48" t="e">
        <f>IF('Furnace design'!#REF!="","",'Furnace design'!#REF!)</f>
        <v>#REF!</v>
      </c>
      <c r="E34" s="287"/>
      <c r="F34" s="288"/>
      <c r="G34" s="289"/>
      <c r="H34" s="53" t="e">
        <f t="shared" si="1"/>
        <v>#REF!</v>
      </c>
      <c r="I34" s="54"/>
      <c r="K34" s="177" t="s">
        <v>356</v>
      </c>
      <c r="L34" s="54">
        <f>$L$33*1.05</f>
        <v>134.33546837286502</v>
      </c>
      <c r="N34" s="184"/>
      <c r="O34" s="54"/>
      <c r="P34" s="54"/>
      <c r="Q34" s="54"/>
      <c r="R34" s="54"/>
      <c r="S34" s="54"/>
      <c r="T34" s="54"/>
      <c r="U34" s="256">
        <v>10</v>
      </c>
      <c r="V34" s="54">
        <v>0</v>
      </c>
      <c r="W34" s="54">
        <v>0</v>
      </c>
      <c r="X34" s="252">
        <v>0</v>
      </c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41"/>
      <c r="AT34" s="41"/>
      <c r="AU34" s="41"/>
      <c r="AV34" s="41"/>
    </row>
    <row r="35" spans="4:48" ht="15" customHeight="1" x14ac:dyDescent="0.2">
      <c r="D35" s="48" t="e">
        <f>IF('Furnace design'!#REF!="","",'Furnace design'!#REF!)</f>
        <v>#REF!</v>
      </c>
      <c r="E35" s="287"/>
      <c r="F35" s="288"/>
      <c r="G35" s="289"/>
      <c r="H35" s="53" t="e">
        <f t="shared" si="1"/>
        <v>#REF!</v>
      </c>
      <c r="I35" s="54"/>
      <c r="L35" s="62"/>
      <c r="M35" s="54"/>
      <c r="N35" s="54"/>
      <c r="O35" s="54"/>
      <c r="P35" s="54"/>
      <c r="Q35" s="54"/>
      <c r="R35" s="54"/>
      <c r="S35" s="54"/>
      <c r="T35" s="54"/>
      <c r="U35" s="256"/>
      <c r="V35" s="54"/>
      <c r="W35" s="54"/>
      <c r="X35" s="252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41"/>
      <c r="AT35" s="41"/>
      <c r="AU35" s="41"/>
      <c r="AV35" s="41"/>
    </row>
    <row r="36" spans="4:48" ht="15" customHeight="1" thickBot="1" x14ac:dyDescent="0.25">
      <c r="D36" s="48" t="e">
        <f>IF('Furnace design'!#REF!="","",'Furnace design'!#REF!)</f>
        <v>#REF!</v>
      </c>
      <c r="E36" s="287"/>
      <c r="F36" s="288"/>
      <c r="G36" s="289"/>
      <c r="H36" s="53" t="e">
        <f t="shared" si="1"/>
        <v>#REF!</v>
      </c>
      <c r="M36" s="54"/>
      <c r="N36" s="185" t="s">
        <v>73</v>
      </c>
      <c r="O36" s="54"/>
      <c r="P36" s="54"/>
      <c r="Q36" s="54"/>
      <c r="R36" s="54"/>
      <c r="S36" s="54"/>
      <c r="T36" s="54"/>
      <c r="U36" s="257"/>
      <c r="V36" s="258"/>
      <c r="W36" s="258"/>
      <c r="X36" s="259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41"/>
      <c r="AT36" s="41"/>
      <c r="AU36" s="41"/>
      <c r="AV36" s="41"/>
    </row>
    <row r="37" spans="4:48" ht="15" customHeight="1" x14ac:dyDescent="0.2">
      <c r="D37" s="48" t="e">
        <f>IF('Furnace design'!#REF!="","",'Furnace design'!#REF!)</f>
        <v>#REF!</v>
      </c>
      <c r="E37" s="287"/>
      <c r="F37" s="288"/>
      <c r="G37" s="289"/>
      <c r="H37" s="53" t="e">
        <f t="shared" si="1"/>
        <v>#REF!</v>
      </c>
      <c r="I37" s="180"/>
      <c r="J37" s="550" t="s">
        <v>170</v>
      </c>
      <c r="K37" s="186" t="s">
        <v>382</v>
      </c>
      <c r="L37" s="127" t="s">
        <v>383</v>
      </c>
      <c r="M37" s="125" t="s">
        <v>167</v>
      </c>
      <c r="N37" s="127" t="s">
        <v>383</v>
      </c>
      <c r="O37" s="127" t="s">
        <v>72</v>
      </c>
      <c r="P37" s="133">
        <v>0.88</v>
      </c>
      <c r="Q37" s="133"/>
      <c r="R37" s="54"/>
      <c r="S37" s="54"/>
      <c r="T37" s="54"/>
      <c r="U37" s="262" t="s">
        <v>434</v>
      </c>
      <c r="V37" s="263">
        <f>SUM(V25:V36)</f>
        <v>3493.4329473684211</v>
      </c>
      <c r="W37" s="268">
        <f>SUM(W25:W36)</f>
        <v>341.06893395834106</v>
      </c>
      <c r="X37" s="264">
        <f>SUM(X25:X36)</f>
        <v>4232.9311106504201</v>
      </c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41"/>
      <c r="AT37" s="41"/>
      <c r="AU37" s="41"/>
      <c r="AV37" s="41"/>
    </row>
    <row r="38" spans="4:48" ht="15" customHeight="1" thickBot="1" x14ac:dyDescent="0.25">
      <c r="D38" s="48" t="e">
        <f>IF('Furnace design'!#REF!="","",'Furnace design'!#REF!)</f>
        <v>#REF!</v>
      </c>
      <c r="E38" s="287"/>
      <c r="F38" s="288"/>
      <c r="G38" s="289"/>
      <c r="H38" s="53" t="e">
        <f t="shared" si="1"/>
        <v>#REF!</v>
      </c>
      <c r="I38" s="181"/>
      <c r="J38" s="551"/>
      <c r="K38" s="128" t="s">
        <v>385</v>
      </c>
      <c r="L38" s="128" t="s">
        <v>163</v>
      </c>
      <c r="M38" s="126" t="s">
        <v>168</v>
      </c>
      <c r="N38" s="126" t="s">
        <v>165</v>
      </c>
      <c r="O38" s="126" t="s">
        <v>165</v>
      </c>
      <c r="P38" s="128" t="s">
        <v>169</v>
      </c>
      <c r="Q38" s="128" t="s">
        <v>386</v>
      </c>
      <c r="R38" s="54"/>
      <c r="S38" s="54"/>
      <c r="T38" s="54"/>
      <c r="U38" s="265" t="s">
        <v>436</v>
      </c>
      <c r="V38" s="266">
        <f>V37*1.05</f>
        <v>3668.1045947368425</v>
      </c>
      <c r="W38" s="267">
        <f>W37*1.05</f>
        <v>358.12238065625814</v>
      </c>
      <c r="X38" s="269">
        <f>X37*1.05</f>
        <v>4444.5776661829414</v>
      </c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41"/>
      <c r="AT38" s="41"/>
      <c r="AU38" s="41"/>
      <c r="AV38" s="41"/>
    </row>
    <row r="39" spans="4:48" ht="15" customHeight="1" x14ac:dyDescent="0.2">
      <c r="D39" s="48" t="e">
        <f>IF('Furnace design'!#REF!="","",'Furnace design'!#REF!)</f>
        <v>#REF!</v>
      </c>
      <c r="E39" s="287"/>
      <c r="F39" s="288"/>
      <c r="G39" s="289"/>
      <c r="H39" s="53" t="e">
        <f t="shared" si="1"/>
        <v>#REF!</v>
      </c>
      <c r="I39" s="55" t="e">
        <f>D14</f>
        <v>#REF!</v>
      </c>
      <c r="J39" s="187" t="s">
        <v>466</v>
      </c>
      <c r="K39" s="54">
        <v>195.89031578947368</v>
      </c>
      <c r="L39" s="54">
        <v>19.125056122633659</v>
      </c>
      <c r="M39" s="54">
        <v>9.7945157894736781</v>
      </c>
      <c r="N39" s="54">
        <v>237.35684195828679</v>
      </c>
      <c r="O39" s="54">
        <v>8.1987782434212966E-2</v>
      </c>
      <c r="P39" s="194" t="e">
        <f>IF(I39="","",IF('Furnace design'!#REF!=1,-(#REF!-SQRT(#REF!^2-(4*#REF!*(-M39/O39))))/(2*#REF!),-(#REF!-SQRT(#REF!^2-(4*#REF!*(-(M39*$P$37)/O39))))/(2*#REF!)))</f>
        <v>#REF!</v>
      </c>
      <c r="Q39" s="54" t="e">
        <f t="shared" ref="Q39:Q46" si="2">IF(I39="","",(P39*9/5)+32)</f>
        <v>#REF!</v>
      </c>
      <c r="R39" s="54">
        <v>0</v>
      </c>
      <c r="S39" s="54">
        <v>1</v>
      </c>
      <c r="T39" s="54">
        <f>J19</f>
        <v>710</v>
      </c>
      <c r="U39" s="260">
        <v>39.178063157894734</v>
      </c>
      <c r="V39" s="260">
        <v>950</v>
      </c>
      <c r="W39" s="261"/>
      <c r="X39" s="260"/>
      <c r="Y39" s="54"/>
      <c r="Z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41"/>
      <c r="AT39" s="41"/>
      <c r="AU39" s="41"/>
      <c r="AV39" s="41"/>
    </row>
    <row r="40" spans="4:48" ht="15" customHeight="1" x14ac:dyDescent="0.2">
      <c r="D40" s="48" t="e">
        <f>IF('Furnace design'!#REF!="","",'Furnace design'!#REF!)</f>
        <v>#REF!</v>
      </c>
      <c r="E40" s="287"/>
      <c r="F40" s="288"/>
      <c r="G40" s="289"/>
      <c r="H40" s="53" t="e">
        <f t="shared" si="1"/>
        <v>#REF!</v>
      </c>
      <c r="I40" s="55" t="e">
        <f t="shared" ref="I40:I103" si="3">D15</f>
        <v>#REF!</v>
      </c>
      <c r="J40" s="188" t="s">
        <v>467</v>
      </c>
      <c r="K40" s="54">
        <v>309.24294736842103</v>
      </c>
      <c r="L40" s="54">
        <v>30.191838223926673</v>
      </c>
      <c r="M40" s="54">
        <v>15.462147368421029</v>
      </c>
      <c r="N40" s="15">
        <v>374.70422715600824</v>
      </c>
      <c r="O40" s="54">
        <v>0.12943030586262042</v>
      </c>
      <c r="P40" s="194" t="e">
        <f>IF(I40="","",IF('Furnace design'!#REF!=1,-(#REF!-SQRT(#REF!^2-(4*#REF!*(-M40/O40))))/(2*#REF!),-(#REF!-SQRT(#REF!^2-(4*#REF!*(-(M40*$P$37)/O40))))/(2*#REF!)))</f>
        <v>#REF!</v>
      </c>
      <c r="Q40" s="54" t="e">
        <f t="shared" si="2"/>
        <v>#REF!</v>
      </c>
      <c r="R40" s="54">
        <v>1</v>
      </c>
      <c r="S40" s="54">
        <v>2</v>
      </c>
      <c r="T40" s="54">
        <f>J15</f>
        <v>732.29650000000004</v>
      </c>
      <c r="U40" s="54">
        <v>51.540491228070174</v>
      </c>
      <c r="V40" s="54">
        <v>950</v>
      </c>
      <c r="X40" s="54"/>
      <c r="Y40" s="54"/>
      <c r="Z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41"/>
      <c r="AT40" s="41"/>
      <c r="AU40" s="41"/>
      <c r="AV40" s="41"/>
    </row>
    <row r="41" spans="4:48" ht="15" customHeight="1" x14ac:dyDescent="0.2">
      <c r="D41" s="48" t="e">
        <f>IF('Furnace design'!#REF!="","",'Furnace design'!#REF!)</f>
        <v>#REF!</v>
      </c>
      <c r="E41" s="287"/>
      <c r="F41" s="288"/>
      <c r="G41" s="289"/>
      <c r="H41" s="53" t="e">
        <f t="shared" si="1"/>
        <v>#REF!</v>
      </c>
      <c r="I41" s="55" t="e">
        <f t="shared" si="3"/>
        <v>#REF!</v>
      </c>
      <c r="J41" s="188" t="s">
        <v>468</v>
      </c>
      <c r="K41" s="54">
        <v>269.99452631578947</v>
      </c>
      <c r="L41" s="54">
        <v>26.359957855919887</v>
      </c>
      <c r="M41" s="54">
        <v>13.499726315789474</v>
      </c>
      <c r="N41" s="15">
        <v>327.14760734375733</v>
      </c>
      <c r="O41" s="54">
        <v>0.11300330183651094</v>
      </c>
      <c r="P41" s="194" t="e">
        <f>IF(I41="","",IF('Furnace design'!#REF!=1,-(#REF!-SQRT(#REF!^2-(4*#REF!*(-M41/O41))))/(2*#REF!),-(#REF!-SQRT(#REF!^2-(4*#REF!*(-(M41*$P$37)/O41))))/(2*#REF!)))</f>
        <v>#REF!</v>
      </c>
      <c r="Q41" s="54" t="e">
        <f t="shared" si="2"/>
        <v>#REF!</v>
      </c>
      <c r="R41" s="54">
        <v>2</v>
      </c>
      <c r="S41" s="54">
        <v>3</v>
      </c>
      <c r="T41" s="54">
        <f>K19</f>
        <v>750.49680000000001</v>
      </c>
      <c r="U41" s="54">
        <v>53.998905263157894</v>
      </c>
      <c r="V41" s="54">
        <v>950</v>
      </c>
      <c r="X41" s="54"/>
      <c r="Y41" s="54"/>
      <c r="Z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41"/>
      <c r="AT41" s="41"/>
      <c r="AU41" s="41"/>
      <c r="AV41" s="41"/>
    </row>
    <row r="42" spans="4:48" ht="15" customHeight="1" x14ac:dyDescent="0.2">
      <c r="D42" s="48" t="e">
        <f>IF('Furnace design'!#REF!="","",'Furnace design'!#REF!)</f>
        <v>#REF!</v>
      </c>
      <c r="E42" s="287"/>
      <c r="F42" s="288"/>
      <c r="G42" s="289"/>
      <c r="H42" s="53" t="e">
        <f t="shared" si="1"/>
        <v>#REF!</v>
      </c>
      <c r="I42" s="55" t="e">
        <f t="shared" si="3"/>
        <v>#REF!</v>
      </c>
      <c r="J42" s="188" t="s">
        <v>469</v>
      </c>
      <c r="K42" s="54">
        <v>190.33726315789474</v>
      </c>
      <c r="L42" s="54">
        <v>18.582903526662435</v>
      </c>
      <c r="M42" s="54">
        <v>9.5168631578947327</v>
      </c>
      <c r="N42" s="15">
        <v>230.62830598881979</v>
      </c>
      <c r="O42" s="54">
        <v>7.9663612047490409E-2</v>
      </c>
      <c r="P42" s="194" t="e">
        <f>IF(I42="","",IF('Furnace design'!#REF!=1,-(#REF!-SQRT(#REF!^2-(4*#REF!*(-M42/O42))))/(2*#REF!),-(#REF!-SQRT(#REF!^2-(4*#REF!*(-(M42*$P$37)/O42))))/(2*#REF!)))</f>
        <v>#REF!</v>
      </c>
      <c r="Q42" s="54" t="e">
        <f t="shared" si="2"/>
        <v>#REF!</v>
      </c>
      <c r="R42" s="54">
        <v>3</v>
      </c>
      <c r="S42" s="54">
        <v>4</v>
      </c>
      <c r="T42" s="54">
        <f>L15</f>
        <v>769.68650000000002</v>
      </c>
      <c r="U42" s="54">
        <v>31.722877192982455</v>
      </c>
      <c r="V42" s="54">
        <v>950</v>
      </c>
      <c r="X42" s="54"/>
      <c r="Y42" s="54"/>
      <c r="Z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41"/>
      <c r="AT42" s="41"/>
      <c r="AU42" s="41"/>
      <c r="AV42" s="41"/>
    </row>
    <row r="43" spans="4:48" ht="15" customHeight="1" x14ac:dyDescent="0.2">
      <c r="D43" s="48" t="e">
        <f>IF('Furnace design'!#REF!="","",'Furnace design'!#REF!)</f>
        <v>#REF!</v>
      </c>
      <c r="E43" s="287"/>
      <c r="F43" s="288"/>
      <c r="G43" s="289"/>
      <c r="H43" s="53" t="e">
        <f t="shared" si="1"/>
        <v>#REF!</v>
      </c>
      <c r="I43" s="55" t="e">
        <f t="shared" si="3"/>
        <v>#REF!</v>
      </c>
      <c r="J43" s="188" t="s">
        <v>470</v>
      </c>
      <c r="K43" s="54">
        <v>197.36326315789475</v>
      </c>
      <c r="L43" s="54">
        <v>19.268862114130521</v>
      </c>
      <c r="M43" s="54">
        <v>9.8681631578947417</v>
      </c>
      <c r="N43" s="15">
        <v>239.1415863155062</v>
      </c>
      <c r="O43" s="54">
        <v>8.2604268695376279E-2</v>
      </c>
      <c r="P43" s="194" t="e">
        <f>IF(I43="","",IF('Furnace design'!#REF!=1,-(#REF!-SQRT(#REF!^2-(4*#REF!*(-M43/O43))))/(2*#REF!),-(#REF!-SQRT(#REF!^2-(4*#REF!*(-(M43*$P$37)/O43))))/(2*#REF!)))</f>
        <v>#REF!</v>
      </c>
      <c r="Q43" s="54" t="e">
        <f t="shared" si="2"/>
        <v>#REF!</v>
      </c>
      <c r="R43" s="54">
        <v>4</v>
      </c>
      <c r="S43" s="54">
        <v>5</v>
      </c>
      <c r="T43" s="54">
        <f>M19</f>
        <v>788.99109999999996</v>
      </c>
      <c r="U43" s="54">
        <v>33.818210526315788</v>
      </c>
      <c r="V43" s="54">
        <v>950</v>
      </c>
      <c r="X43" s="54"/>
      <c r="Y43" s="54"/>
      <c r="Z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41"/>
      <c r="AT43" s="41"/>
      <c r="AU43" s="41"/>
      <c r="AV43" s="41"/>
    </row>
    <row r="44" spans="4:48" ht="15" customHeight="1" x14ac:dyDescent="0.2">
      <c r="D44" s="48" t="e">
        <f>IF('Furnace design'!#REF!="","",'Furnace design'!#REF!)</f>
        <v>#REF!</v>
      </c>
      <c r="E44" s="287"/>
      <c r="F44" s="288"/>
      <c r="G44" s="289"/>
      <c r="H44" s="53" t="e">
        <f t="shared" si="1"/>
        <v>#REF!</v>
      </c>
      <c r="I44" s="55" t="e">
        <f t="shared" si="3"/>
        <v>#REF!</v>
      </c>
      <c r="J44" s="188" t="s">
        <v>471</v>
      </c>
      <c r="K44" s="54">
        <v>311.54515789473686</v>
      </c>
      <c r="L44" s="54">
        <v>30.416606382293569</v>
      </c>
      <c r="M44" s="54">
        <v>15.577257894736817</v>
      </c>
      <c r="N44" s="15">
        <v>377.49377506115684</v>
      </c>
      <c r="O44" s="54">
        <v>0.13039387128946975</v>
      </c>
      <c r="P44" s="194" t="e">
        <f>IF(I44="","",IF('Furnace design'!#REF!=1,-(#REF!-SQRT(#REF!^2-(4*#REF!*(-M44/O44))))/(2*#REF!),-(#REF!-SQRT(#REF!^2-(4*#REF!*(-(M44*$P$37)/O44))))/(2*#REF!)))</f>
        <v>#REF!</v>
      </c>
      <c r="Q44" s="54" t="e">
        <f t="shared" si="2"/>
        <v>#REF!</v>
      </c>
      <c r="R44" s="54">
        <v>5</v>
      </c>
      <c r="S44" s="54">
        <v>6</v>
      </c>
      <c r="T44" s="54">
        <f>N15</f>
        <v>805.36739999999998</v>
      </c>
      <c r="U44" s="54">
        <v>42.112561403508778</v>
      </c>
      <c r="V44" s="54">
        <v>950</v>
      </c>
      <c r="X44" s="54"/>
      <c r="Y44" s="54"/>
      <c r="Z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41"/>
      <c r="AT44" s="41"/>
      <c r="AU44" s="41"/>
      <c r="AV44" s="41"/>
    </row>
    <row r="45" spans="4:48" ht="15" customHeight="1" x14ac:dyDescent="0.2">
      <c r="D45" s="48" t="e">
        <f>IF('Furnace design'!#REF!="","",'Furnace design'!#REF!)</f>
        <v>#REF!</v>
      </c>
      <c r="E45" s="287"/>
      <c r="F45" s="288"/>
      <c r="G45" s="289"/>
      <c r="H45" s="53" t="e">
        <f t="shared" si="1"/>
        <v>#REF!</v>
      </c>
      <c r="I45" s="55" t="e">
        <f t="shared" si="3"/>
        <v>#REF!</v>
      </c>
      <c r="J45" s="188" t="s">
        <v>472</v>
      </c>
      <c r="K45" s="54">
        <v>269.52189473684211</v>
      </c>
      <c r="L45" s="54">
        <v>26.313814148221685</v>
      </c>
      <c r="M45" s="54">
        <v>13.476094736842128</v>
      </c>
      <c r="N45" s="15">
        <v>326.57492799237338</v>
      </c>
      <c r="O45" s="54">
        <v>0.1128054869781801</v>
      </c>
      <c r="P45" s="194" t="e">
        <f>IF(I45="","",IF('Furnace design'!#REF!=1,-(#REF!-SQRT(#REF!^2-(4*#REF!*(-M45/O45))))/(2*#REF!),-(#REF!-SQRT(#REF!^2-(4*#REF!*(-(M45*$P$37)/O45))))/(2*#REF!)))</f>
        <v>#REF!</v>
      </c>
      <c r="Q45" s="54" t="e">
        <f t="shared" si="2"/>
        <v>#REF!</v>
      </c>
      <c r="R45" s="54">
        <v>6</v>
      </c>
      <c r="S45" s="54">
        <v>7</v>
      </c>
      <c r="T45" s="54">
        <f>O19</f>
        <v>821.92769999999996</v>
      </c>
      <c r="U45" s="54">
        <v>42.865557894736845</v>
      </c>
      <c r="V45" s="54">
        <v>950</v>
      </c>
      <c r="X45" s="54"/>
      <c r="Y45" s="54"/>
      <c r="Z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41"/>
      <c r="AT45" s="41"/>
      <c r="AU45" s="41"/>
      <c r="AV45" s="41"/>
    </row>
    <row r="46" spans="4:48" ht="15" customHeight="1" x14ac:dyDescent="0.2">
      <c r="D46" s="48" t="e">
        <f>IF('Furnace design'!#REF!="","",'Furnace design'!#REF!)</f>
        <v>#REF!</v>
      </c>
      <c r="E46" s="287"/>
      <c r="F46" s="288"/>
      <c r="G46" s="289"/>
      <c r="H46" s="53" t="e">
        <f t="shared" si="1"/>
        <v>#REF!</v>
      </c>
      <c r="I46" s="55" t="e">
        <f t="shared" si="3"/>
        <v>#REF!</v>
      </c>
      <c r="J46" s="188" t="s">
        <v>473</v>
      </c>
      <c r="K46" s="54">
        <v>184.18757894736845</v>
      </c>
      <c r="L46" s="54">
        <v>17.982500922844135</v>
      </c>
      <c r="M46" s="54">
        <v>9.2093789473684353</v>
      </c>
      <c r="N46" s="15">
        <v>223.17684205417592</v>
      </c>
      <c r="O46" s="54">
        <v>7.7089727937601008E-2</v>
      </c>
      <c r="P46" s="194" t="e">
        <f>IF(I46="","",IF('Furnace design'!#REF!=1,-(#REF!-SQRT(#REF!^2-(4*#REF!*(-M46/O46))))/(2*#REF!),-(#REF!-SQRT(#REF!^2-(4*#REF!*(-(M46*$P$37)/O46))))/(2*#REF!)))</f>
        <v>#REF!</v>
      </c>
      <c r="Q46" s="54" t="e">
        <f t="shared" si="2"/>
        <v>#REF!</v>
      </c>
      <c r="R46" s="54"/>
      <c r="S46" s="54">
        <v>8</v>
      </c>
      <c r="T46" s="54">
        <f>P15</f>
        <v>0</v>
      </c>
      <c r="U46" s="54">
        <v>25.531000000000002</v>
      </c>
      <c r="V46" s="54">
        <v>950</v>
      </c>
      <c r="X46" s="54"/>
      <c r="Y46" s="54"/>
      <c r="Z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41"/>
      <c r="AT46" s="41"/>
      <c r="AU46" s="41"/>
      <c r="AV46" s="41"/>
    </row>
    <row r="47" spans="4:48" ht="15" customHeight="1" x14ac:dyDescent="0.2">
      <c r="D47" s="48" t="e">
        <f>IF('Furnace design'!#REF!="","",'Furnace design'!#REF!)</f>
        <v>#REF!</v>
      </c>
      <c r="E47" s="287"/>
      <c r="F47" s="288"/>
      <c r="G47" s="289"/>
      <c r="H47" s="53" t="e">
        <f t="shared" si="1"/>
        <v>#REF!</v>
      </c>
      <c r="I47" s="55" t="e">
        <f t="shared" si="3"/>
        <v>#REF!</v>
      </c>
      <c r="J47" s="188" t="s">
        <v>474</v>
      </c>
      <c r="K47" s="54">
        <v>169.09105263157895</v>
      </c>
      <c r="L47" s="54">
        <v>16.508605126195441</v>
      </c>
      <c r="M47" s="54">
        <v>8.4545526315789346</v>
      </c>
      <c r="N47" s="15">
        <v>204.88464727969327</v>
      </c>
      <c r="O47" s="54">
        <v>7.0771239399241972E-2</v>
      </c>
      <c r="P47" s="194" t="e">
        <f>IF(I47="","",IF('Furnace design'!#REF!=1,-(#REF!-SQRT(#REF!^2-(4*#REF!*(-M47/O47))))/(2*#REF!),-(#REF!-SQRT(#REF!^2-(4*#REF!*(-(M47*$P$37)/O47))))/(2*#REF!)))</f>
        <v>#REF!</v>
      </c>
      <c r="Q47" s="54" t="e">
        <f>IF(I47="","",(P47*9/5)+32)</f>
        <v>#REF!</v>
      </c>
      <c r="R47" s="54"/>
      <c r="S47" s="54"/>
      <c r="T47" s="54">
        <f>Q19</f>
        <v>0</v>
      </c>
      <c r="U47" s="54"/>
      <c r="V47" s="54"/>
      <c r="X47" s="54"/>
      <c r="Y47" s="54"/>
      <c r="Z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41"/>
      <c r="AT47" s="41"/>
      <c r="AU47" s="41"/>
      <c r="AV47" s="41"/>
    </row>
    <row r="48" spans="4:48" ht="15" customHeight="1" x14ac:dyDescent="0.2">
      <c r="D48" s="48" t="e">
        <f>IF('Furnace design'!#REF!="","",'Furnace design'!#REF!)</f>
        <v>#REF!</v>
      </c>
      <c r="E48" s="287"/>
      <c r="F48" s="288"/>
      <c r="G48" s="289"/>
      <c r="H48" s="53" t="e">
        <f t="shared" si="1"/>
        <v>#REF!</v>
      </c>
      <c r="I48" s="55" t="e">
        <f t="shared" si="3"/>
        <v>#REF!</v>
      </c>
      <c r="J48" s="188" t="s">
        <v>475</v>
      </c>
      <c r="K48" s="54">
        <v>252.67536842105264</v>
      </c>
      <c r="L48" s="54">
        <v>24.669063309149269</v>
      </c>
      <c r="M48" s="54">
        <v>12.633768421052622</v>
      </c>
      <c r="N48" s="15">
        <v>306.16228907161957</v>
      </c>
      <c r="O48" s="54">
        <v>0.10575455478286118</v>
      </c>
      <c r="P48" s="194" t="e">
        <f>IF(I48="","",IF('Furnace design'!#REF!=1,-(#REF!-SQRT(#REF!^2-(4*#REF!*(-M48/O48))))/(2*#REF!),-(#REF!-SQRT(#REF!^2-(4*#REF!*(-(M48*$P$37)/O48))))/(2*#REF!)))</f>
        <v>#REF!</v>
      </c>
      <c r="Q48" s="54" t="e">
        <f t="shared" ref="Q48:Q90" si="4">IF(I48="","",(P48*9/5)+32)</f>
        <v>#REF!</v>
      </c>
      <c r="R48" s="54"/>
      <c r="S48" s="54"/>
      <c r="T48" s="54">
        <f>R15</f>
        <v>0</v>
      </c>
      <c r="U48" s="54"/>
      <c r="V48" s="54"/>
      <c r="X48" s="54"/>
      <c r="Y48" s="54"/>
      <c r="Z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41"/>
      <c r="AT48" s="41"/>
      <c r="AU48" s="41"/>
      <c r="AV48" s="41"/>
    </row>
    <row r="49" spans="4:48" ht="15" customHeight="1" x14ac:dyDescent="0.2">
      <c r="D49" s="48" t="e">
        <f>IF('Furnace design'!#REF!="","",'Furnace design'!#REF!)</f>
        <v>#REF!</v>
      </c>
      <c r="E49" s="287"/>
      <c r="F49" s="288"/>
      <c r="G49" s="289"/>
      <c r="H49" s="53" t="e">
        <f t="shared" si="1"/>
        <v>#REF!</v>
      </c>
      <c r="I49" s="55" t="e">
        <f t="shared" si="3"/>
        <v>#REF!</v>
      </c>
      <c r="J49" s="188" t="s">
        <v>476</v>
      </c>
      <c r="K49" s="54">
        <v>214.32778947368422</v>
      </c>
      <c r="L49" s="54">
        <v>20.925133464634943</v>
      </c>
      <c r="M49" s="54">
        <v>10.716389473684217</v>
      </c>
      <c r="N49" s="15">
        <v>259.69720375583717</v>
      </c>
      <c r="O49" s="54">
        <v>8.9704588520135936E-2</v>
      </c>
      <c r="P49" s="194" t="e">
        <f>IF(I49="","",IF('Furnace design'!#REF!=1,-(#REF!-SQRT(#REF!^2-(4*#REF!*(-M49/O49))))/(2*#REF!),-(#REF!-SQRT(#REF!^2-(4*#REF!*(-(M49*$P$37)/O49))))/(2*#REF!)))</f>
        <v>#REF!</v>
      </c>
      <c r="Q49" s="54" t="e">
        <f t="shared" si="4"/>
        <v>#REF!</v>
      </c>
      <c r="R49" s="54"/>
      <c r="S49" s="54"/>
      <c r="T49" s="54">
        <f>S19</f>
        <v>0</v>
      </c>
      <c r="U49" s="54"/>
      <c r="V49" s="54"/>
      <c r="X49" s="54"/>
      <c r="Y49" s="54"/>
      <c r="Z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41"/>
      <c r="AT49" s="41"/>
      <c r="AU49" s="41"/>
      <c r="AV49" s="41"/>
    </row>
    <row r="50" spans="4:48" ht="15" customHeight="1" x14ac:dyDescent="0.2">
      <c r="D50" s="48" t="e">
        <f>IF('Furnace design'!#REF!="","",'Furnace design'!#REF!)</f>
        <v>#REF!</v>
      </c>
      <c r="E50" s="287"/>
      <c r="F50" s="288"/>
      <c r="G50" s="289"/>
      <c r="H50" s="53" t="e">
        <f t="shared" si="1"/>
        <v>#REF!</v>
      </c>
      <c r="I50" s="55" t="e">
        <f t="shared" si="3"/>
        <v>#REF!</v>
      </c>
      <c r="J50" s="188" t="s">
        <v>477</v>
      </c>
      <c r="K50" s="54">
        <v>153.18600000000001</v>
      </c>
      <c r="L50" s="54">
        <v>14.955771730698231</v>
      </c>
      <c r="M50" s="54">
        <v>7.6593000000000018</v>
      </c>
      <c r="N50" s="15">
        <v>185.61277542325521</v>
      </c>
      <c r="O50" s="54">
        <v>6.4114350877177137E-2</v>
      </c>
      <c r="P50" s="194" t="e">
        <f>IF(I50="","",IF('Furnace design'!#REF!=1,-(#REF!-SQRT(#REF!^2-(4*#REF!*(-M50/O50))))/(2*#REF!),-(#REF!-SQRT(#REF!^2-(4*#REF!*(-(M50*$P$37)/O50))))/(2*#REF!)))</f>
        <v>#REF!</v>
      </c>
      <c r="Q50" s="54" t="e">
        <f t="shared" si="4"/>
        <v>#REF!</v>
      </c>
      <c r="R50" s="54"/>
      <c r="S50" s="54"/>
      <c r="T50" s="54">
        <f>T15</f>
        <v>0</v>
      </c>
      <c r="U50" s="54"/>
      <c r="V50" s="54"/>
      <c r="X50" s="54"/>
      <c r="Y50" s="54"/>
      <c r="Z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41"/>
      <c r="AT50" s="41"/>
      <c r="AU50" s="41"/>
      <c r="AV50" s="41"/>
    </row>
    <row r="51" spans="4:48" ht="15" customHeight="1" x14ac:dyDescent="0.2">
      <c r="D51" s="48" t="e">
        <f>IF('Furnace design'!#REF!="","",'Furnace design'!#REF!)</f>
        <v>#REF!</v>
      </c>
      <c r="E51" s="287"/>
      <c r="F51" s="288"/>
      <c r="G51" s="289"/>
      <c r="H51" s="53" t="e">
        <f t="shared" si="1"/>
        <v>#REF!</v>
      </c>
      <c r="I51" s="55" t="e">
        <f t="shared" si="3"/>
        <v>#REF!</v>
      </c>
      <c r="J51" s="188" t="s">
        <v>478</v>
      </c>
      <c r="K51" s="54">
        <v>162.87368421052633</v>
      </c>
      <c r="L51" s="54">
        <v>15.901594414570916</v>
      </c>
      <c r="M51" s="54">
        <v>8.1436842105263452</v>
      </c>
      <c r="N51" s="15">
        <v>197.35117158047481</v>
      </c>
      <c r="O51" s="54">
        <v>6.8169026791823226E-2</v>
      </c>
      <c r="P51" s="194" t="e">
        <f>IF(I51="","",IF('Furnace design'!#REF!=1,-(#REF!-SQRT(#REF!^2-(4*#REF!*(-M51/O51))))/(2*#REF!),-(#REF!-SQRT(#REF!^2-(4*#REF!*(-(M51*$P$37)/O51))))/(2*#REF!)))</f>
        <v>#REF!</v>
      </c>
      <c r="Q51" s="54" t="e">
        <f t="shared" si="4"/>
        <v>#REF!</v>
      </c>
      <c r="R51" s="54"/>
      <c r="S51" s="54"/>
      <c r="T51" s="54">
        <f>U19</f>
        <v>0</v>
      </c>
      <c r="U51" s="54"/>
      <c r="V51" s="54"/>
      <c r="X51" s="54"/>
      <c r="Y51" s="54"/>
      <c r="Z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41"/>
      <c r="AT51" s="41"/>
      <c r="AU51" s="41"/>
      <c r="AV51" s="41"/>
    </row>
    <row r="52" spans="4:48" ht="15" customHeight="1" x14ac:dyDescent="0.2">
      <c r="D52" s="48" t="e">
        <f>IF('Furnace design'!#REF!="","",'Furnace design'!#REF!)</f>
        <v>#REF!</v>
      </c>
      <c r="E52" s="287"/>
      <c r="F52" s="288"/>
      <c r="G52" s="289"/>
      <c r="H52" s="53" t="e">
        <f t="shared" si="1"/>
        <v>#REF!</v>
      </c>
      <c r="I52" s="55" t="e">
        <f t="shared" si="3"/>
        <v>#REF!</v>
      </c>
      <c r="J52" s="188" t="s">
        <v>479</v>
      </c>
      <c r="K52" s="54">
        <v>252.10694736842106</v>
      </c>
      <c r="L52" s="54">
        <v>24.613567535971033</v>
      </c>
      <c r="M52" s="54">
        <v>12.605347368421064</v>
      </c>
      <c r="N52" s="15">
        <v>305.47354330380819</v>
      </c>
      <c r="O52" s="54">
        <v>0.10551664827172835</v>
      </c>
      <c r="P52" s="194" t="e">
        <f>IF(I52="","",IF('Furnace design'!#REF!=1,-(#REF!-SQRT(#REF!^2-(4*#REF!*(-M52/O52))))/(2*#REF!),-(#REF!-SQRT(#REF!^2-(4*#REF!*(-(M52*$P$37)/O52))))/(2*#REF!)))</f>
        <v>#REF!</v>
      </c>
      <c r="Q52" s="54" t="e">
        <f t="shared" si="4"/>
        <v>#REF!</v>
      </c>
      <c r="R52" s="54"/>
      <c r="S52" s="54"/>
      <c r="T52" s="54">
        <f>V15</f>
        <v>0</v>
      </c>
      <c r="U52" s="54"/>
      <c r="V52" s="54"/>
      <c r="X52" s="54"/>
      <c r="Y52" s="54"/>
      <c r="Z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41"/>
      <c r="AT52" s="41"/>
      <c r="AU52" s="41"/>
      <c r="AV52" s="41"/>
    </row>
    <row r="53" spans="4:48" ht="15" customHeight="1" x14ac:dyDescent="0.2">
      <c r="D53" s="48" t="e">
        <f>IF('Furnace design'!#REF!="","",'Furnace design'!#REF!)</f>
        <v>#REF!</v>
      </c>
      <c r="E53" s="287"/>
      <c r="F53" s="288"/>
      <c r="G53" s="289"/>
      <c r="H53" s="53" t="e">
        <f t="shared" si="1"/>
        <v>#REF!</v>
      </c>
      <c r="I53" s="55" t="e">
        <f t="shared" si="3"/>
        <v>#REF!</v>
      </c>
      <c r="J53" s="188" t="s">
        <v>480</v>
      </c>
      <c r="K53" s="54">
        <v>214.07873684210526</v>
      </c>
      <c r="L53" s="54">
        <v>20.90081809438685</v>
      </c>
      <c r="M53" s="54">
        <v>10.703936842105264</v>
      </c>
      <c r="N53" s="15">
        <v>259.39543107312568</v>
      </c>
      <c r="O53" s="54">
        <v>8.9600350222850678E-2</v>
      </c>
      <c r="P53" s="194" t="e">
        <f>IF(I53="","",IF('Furnace design'!#REF!=1,-(#REF!-SQRT(#REF!^2-(4*#REF!*(-M53/O53))))/(2*#REF!),-(#REF!-SQRT(#REF!^2-(4*#REF!*(-(M53*$P$37)/O53))))/(2*#REF!)))</f>
        <v>#REF!</v>
      </c>
      <c r="Q53" s="54" t="e">
        <f t="shared" si="4"/>
        <v>#REF!</v>
      </c>
      <c r="R53" s="54"/>
      <c r="S53" s="54"/>
      <c r="T53" s="54">
        <f>W19</f>
        <v>0</v>
      </c>
      <c r="U53" s="54"/>
      <c r="V53" s="54"/>
      <c r="W53" s="54"/>
      <c r="X53" s="54"/>
      <c r="Y53" s="54"/>
      <c r="Z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41"/>
      <c r="AT53" s="41"/>
      <c r="AU53" s="41"/>
      <c r="AV53" s="41"/>
    </row>
    <row r="54" spans="4:48" ht="15" customHeight="1" x14ac:dyDescent="0.2">
      <c r="D54" s="48" t="e">
        <f>IF('Furnace design'!#REF!="","",'Furnace design'!#REF!)</f>
        <v>#REF!</v>
      </c>
      <c r="E54" s="287"/>
      <c r="F54" s="288"/>
      <c r="G54" s="289"/>
      <c r="H54" s="53" t="e">
        <f t="shared" si="1"/>
        <v>#REF!</v>
      </c>
      <c r="I54" s="55" t="e">
        <f t="shared" si="3"/>
        <v>#REF!</v>
      </c>
      <c r="J54" s="188" t="s">
        <v>481</v>
      </c>
      <c r="K54" s="54">
        <v>147.01042105263159</v>
      </c>
      <c r="L54" s="54">
        <v>14.352840986101807</v>
      </c>
      <c r="M54" s="54">
        <v>7.3505210526315921</v>
      </c>
      <c r="N54" s="15">
        <v>178.12993529252216</v>
      </c>
      <c r="O54" s="54">
        <v>6.1529628804002784E-2</v>
      </c>
      <c r="P54" s="194" t="e">
        <f>IF(I54="","",IF('Furnace design'!#REF!=1,-(#REF!-SQRT(#REF!^2-(4*#REF!*(-M54/O54))))/(2*#REF!),-(#REF!-SQRT(#REF!^2-(4*#REF!*(-(M54*$P$37)/O54))))/(2*#REF!)))</f>
        <v>#REF!</v>
      </c>
      <c r="Q54" s="54" t="e">
        <f t="shared" si="4"/>
        <v>#REF!</v>
      </c>
      <c r="R54" s="54"/>
      <c r="S54" s="54"/>
      <c r="T54" s="54">
        <f>X15</f>
        <v>0</v>
      </c>
      <c r="U54" s="54"/>
      <c r="V54" s="54"/>
      <c r="W54" s="54"/>
      <c r="X54" s="54"/>
      <c r="Y54" s="54"/>
      <c r="Z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41"/>
      <c r="AT54" s="41"/>
      <c r="AU54" s="41"/>
      <c r="AV54" s="41"/>
    </row>
    <row r="55" spans="4:48" ht="15" customHeight="1" x14ac:dyDescent="0.2">
      <c r="D55" s="48" t="e">
        <f>IF('Furnace design'!#REF!="","",'Furnace design'!#REF!)</f>
        <v>#REF!</v>
      </c>
      <c r="E55" s="287"/>
      <c r="F55" s="288"/>
      <c r="G55" s="289"/>
      <c r="H55" s="53" t="e">
        <f t="shared" si="1"/>
        <v>#REF!</v>
      </c>
      <c r="I55" s="55" t="e">
        <f t="shared" si="3"/>
        <v>#REF!</v>
      </c>
      <c r="J55" s="188"/>
      <c r="K55" s="54"/>
      <c r="L55" s="54"/>
      <c r="M55" s="54"/>
      <c r="N55" s="15"/>
      <c r="O55" s="54"/>
      <c r="P55" s="194" t="e">
        <f>IF(I55="","",IF('Furnace design'!#REF!=1,-(#REF!-SQRT(#REF!^2-(4*#REF!*(-M55/O55))))/(2*#REF!),-(#REF!-SQRT(#REF!^2-(4*#REF!*(-(M55*$P$37)/O55))))/(2*#REF!)))</f>
        <v>#REF!</v>
      </c>
      <c r="Q55" s="54" t="e">
        <f t="shared" si="4"/>
        <v>#REF!</v>
      </c>
      <c r="R55" s="54"/>
      <c r="S55" s="54"/>
      <c r="T55" s="54">
        <f>Y19</f>
        <v>0</v>
      </c>
      <c r="U55" s="54"/>
      <c r="V55" s="54"/>
      <c r="W55" s="54"/>
      <c r="X55" s="54"/>
      <c r="Y55" s="54"/>
      <c r="Z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41"/>
      <c r="AT55" s="41"/>
      <c r="AU55" s="41"/>
      <c r="AV55" s="41"/>
    </row>
    <row r="56" spans="4:48" ht="15" customHeight="1" x14ac:dyDescent="0.2">
      <c r="D56" s="48" t="e">
        <f>IF('Furnace design'!#REF!="","",'Furnace design'!#REF!)</f>
        <v>#REF!</v>
      </c>
      <c r="E56" s="287"/>
      <c r="F56" s="288"/>
      <c r="G56" s="289"/>
      <c r="H56" s="53" t="e">
        <f t="shared" si="1"/>
        <v>#REF!</v>
      </c>
      <c r="I56" s="55" t="e">
        <f t="shared" si="3"/>
        <v>#REF!</v>
      </c>
      <c r="J56" s="188"/>
      <c r="K56" s="54"/>
      <c r="L56" s="54"/>
      <c r="M56" s="54"/>
      <c r="N56" s="15"/>
      <c r="O56" s="54"/>
      <c r="P56" s="194" t="e">
        <f>IF(I56="","",IF('Furnace design'!#REF!=1,-(#REF!-SQRT(#REF!^2-(4*#REF!*(-M56/O56))))/(2*#REF!),-(#REF!-SQRT(#REF!^2-(4*#REF!*(-(M56*$P$37)/O56))))/(2*#REF!)))</f>
        <v>#REF!</v>
      </c>
      <c r="Q56" s="54" t="e">
        <f t="shared" si="4"/>
        <v>#REF!</v>
      </c>
      <c r="R56" s="54"/>
      <c r="S56" s="54"/>
      <c r="T56" s="54">
        <f>Z15</f>
        <v>0</v>
      </c>
      <c r="U56" s="54"/>
      <c r="V56" s="54"/>
      <c r="W56" s="54"/>
      <c r="X56" s="54"/>
      <c r="Y56" s="54"/>
      <c r="Z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41"/>
      <c r="AT56" s="41"/>
      <c r="AU56" s="41"/>
      <c r="AV56" s="41"/>
    </row>
    <row r="57" spans="4:48" ht="15" customHeight="1" x14ac:dyDescent="0.2">
      <c r="D57" s="48" t="e">
        <f>IF('Furnace design'!#REF!="","",'Furnace design'!#REF!)</f>
        <v>#REF!</v>
      </c>
      <c r="E57" s="287"/>
      <c r="F57" s="288"/>
      <c r="G57" s="289"/>
      <c r="H57" s="53" t="e">
        <f t="shared" si="1"/>
        <v>#REF!</v>
      </c>
      <c r="I57" s="55" t="e">
        <f t="shared" si="3"/>
        <v>#REF!</v>
      </c>
      <c r="J57" s="188"/>
      <c r="K57" s="54"/>
      <c r="L57" s="54"/>
      <c r="M57" s="54"/>
      <c r="N57" s="15"/>
      <c r="O57" s="54"/>
      <c r="P57" s="194" t="e">
        <f>IF(I57="","",IF('Furnace design'!#REF!=1,-(#REF!-SQRT(#REF!^2-(4*#REF!*(-M57/O57))))/(2*#REF!),-(#REF!-SQRT(#REF!^2-(4*#REF!*(-(M57*$P$37)/O57))))/(2*#REF!)))</f>
        <v>#REF!</v>
      </c>
      <c r="Q57" s="54" t="e">
        <f t="shared" si="4"/>
        <v>#REF!</v>
      </c>
      <c r="R57" s="54"/>
      <c r="S57" s="54"/>
      <c r="T57" s="54">
        <f>AA19</f>
        <v>0</v>
      </c>
      <c r="U57" s="54"/>
      <c r="V57" s="54"/>
      <c r="W57" s="54"/>
      <c r="X57" s="54"/>
      <c r="Y57" s="54"/>
      <c r="Z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41"/>
      <c r="AT57" s="41"/>
      <c r="AU57" s="41"/>
      <c r="AV57" s="41"/>
    </row>
    <row r="58" spans="4:48" ht="15" customHeight="1" x14ac:dyDescent="0.2">
      <c r="D58" s="48" t="e">
        <f>IF('Furnace design'!#REF!="","",'Furnace design'!#REF!)</f>
        <v>#REF!</v>
      </c>
      <c r="E58" s="287"/>
      <c r="F58" s="288"/>
      <c r="G58" s="289"/>
      <c r="H58" s="53" t="e">
        <f t="shared" si="1"/>
        <v>#REF!</v>
      </c>
      <c r="I58" s="55" t="e">
        <f t="shared" si="3"/>
        <v>#REF!</v>
      </c>
      <c r="J58" s="188"/>
      <c r="K58" s="54"/>
      <c r="L58" s="54"/>
      <c r="M58" s="54"/>
      <c r="N58" s="15"/>
      <c r="O58" s="54"/>
      <c r="P58" s="194" t="e">
        <f>IF(I58="","",IF('Furnace design'!#REF!=1,-(#REF!-SQRT(#REF!^2-(4*#REF!*(-M58/O58))))/(2*#REF!),-(#REF!-SQRT(#REF!^2-(4*#REF!*(-(M58*$P$37)/O58))))/(2*#REF!)))</f>
        <v>#REF!</v>
      </c>
      <c r="Q58" s="54" t="e">
        <f t="shared" si="4"/>
        <v>#REF!</v>
      </c>
      <c r="R58" s="54"/>
      <c r="S58" s="54"/>
      <c r="T58" s="54">
        <f>AB15</f>
        <v>0</v>
      </c>
      <c r="U58" s="54"/>
      <c r="V58" s="54"/>
      <c r="W58" s="54"/>
      <c r="X58" s="54"/>
      <c r="Y58" s="54"/>
      <c r="Z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41"/>
      <c r="AT58" s="41"/>
      <c r="AU58" s="41"/>
      <c r="AV58" s="41"/>
    </row>
    <row r="59" spans="4:48" ht="15" customHeight="1" x14ac:dyDescent="0.2">
      <c r="D59" s="48" t="e">
        <f>IF('Furnace design'!#REF!="","",'Furnace design'!#REF!)</f>
        <v>#REF!</v>
      </c>
      <c r="E59" s="287"/>
      <c r="F59" s="288"/>
      <c r="G59" s="289"/>
      <c r="H59" s="53" t="e">
        <f t="shared" si="1"/>
        <v>#REF!</v>
      </c>
      <c r="I59" s="55" t="e">
        <f t="shared" si="3"/>
        <v>#REF!</v>
      </c>
      <c r="J59" s="188"/>
      <c r="K59" s="54"/>
      <c r="L59" s="54"/>
      <c r="M59" s="54"/>
      <c r="N59" s="15"/>
      <c r="O59" s="54"/>
      <c r="P59" s="194" t="e">
        <f>IF(I59="","",IF('Furnace design'!#REF!=1,-(#REF!-SQRT(#REF!^2-(4*#REF!*(-M59/O59))))/(2*#REF!),-(#REF!-SQRT(#REF!^2-(4*#REF!*(-(M59*$P$37)/O59))))/(2*#REF!)))</f>
        <v>#REF!</v>
      </c>
      <c r="Q59" s="54" t="e">
        <f t="shared" si="4"/>
        <v>#REF!</v>
      </c>
      <c r="R59" s="54"/>
      <c r="S59" s="54"/>
      <c r="T59" s="54">
        <f>AC19</f>
        <v>0</v>
      </c>
      <c r="U59" s="54"/>
      <c r="V59" s="54"/>
      <c r="W59" s="54"/>
      <c r="X59" s="54"/>
      <c r="Y59" s="54"/>
      <c r="Z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41"/>
      <c r="AT59" s="41"/>
      <c r="AU59" s="41"/>
      <c r="AV59" s="41"/>
    </row>
    <row r="60" spans="4:48" ht="15" customHeight="1" x14ac:dyDescent="0.2">
      <c r="D60" s="48" t="e">
        <f>IF('Furnace design'!#REF!="","",'Furnace design'!#REF!)</f>
        <v>#REF!</v>
      </c>
      <c r="E60" s="287"/>
      <c r="F60" s="288"/>
      <c r="G60" s="289"/>
      <c r="H60" s="53" t="e">
        <f t="shared" si="1"/>
        <v>#REF!</v>
      </c>
      <c r="I60" s="55" t="e">
        <f t="shared" si="3"/>
        <v>#REF!</v>
      </c>
      <c r="J60" s="188"/>
      <c r="K60" s="54"/>
      <c r="L60" s="54"/>
      <c r="M60" s="54"/>
      <c r="N60" s="15"/>
      <c r="O60" s="54"/>
      <c r="P60" s="194" t="e">
        <f>IF(I60="","",IF('Furnace design'!#REF!=1,-(#REF!-SQRT(#REF!^2-(4*#REF!*(-M60/O60))))/(2*#REF!),-(#REF!-SQRT(#REF!^2-(4*#REF!*(-(M60*$P$37)/O60))))/(2*#REF!)))</f>
        <v>#REF!</v>
      </c>
      <c r="Q60" s="54" t="e">
        <f t="shared" si="4"/>
        <v>#REF!</v>
      </c>
      <c r="R60" s="54"/>
      <c r="S60" s="54"/>
      <c r="T60" s="54">
        <f>AD15</f>
        <v>0</v>
      </c>
      <c r="U60" s="54"/>
      <c r="V60" s="54"/>
      <c r="W60" s="54"/>
      <c r="X60" s="54"/>
      <c r="Y60" s="54"/>
      <c r="Z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41"/>
      <c r="AT60" s="41"/>
      <c r="AU60" s="41"/>
      <c r="AV60" s="41"/>
    </row>
    <row r="61" spans="4:48" ht="15" customHeight="1" x14ac:dyDescent="0.2">
      <c r="D61" s="48" t="e">
        <f>IF('Furnace design'!#REF!="","",'Furnace design'!#REF!)</f>
        <v>#REF!</v>
      </c>
      <c r="E61" s="287"/>
      <c r="F61" s="288"/>
      <c r="G61" s="289"/>
      <c r="H61" s="53" t="e">
        <f t="shared" si="1"/>
        <v>#REF!</v>
      </c>
      <c r="I61" s="55" t="e">
        <f t="shared" si="3"/>
        <v>#REF!</v>
      </c>
      <c r="J61" s="188"/>
      <c r="K61" s="54"/>
      <c r="L61" s="54"/>
      <c r="M61" s="54"/>
      <c r="N61" s="15"/>
      <c r="O61" s="54"/>
      <c r="P61" s="194" t="e">
        <f>IF(I61="","",IF('Furnace design'!#REF!=1,-(#REF!-SQRT(#REF!^2-(4*#REF!*(-M61/O61))))/(2*#REF!),-(#REF!-SQRT(#REF!^2-(4*#REF!*(-(M61*$P$37)/O61))))/(2*#REF!)))</f>
        <v>#REF!</v>
      </c>
      <c r="Q61" s="54" t="e">
        <f t="shared" si="4"/>
        <v>#REF!</v>
      </c>
      <c r="R61" s="54"/>
      <c r="S61" s="54"/>
      <c r="T61" s="54">
        <f>AE19</f>
        <v>0</v>
      </c>
      <c r="U61" s="54"/>
      <c r="V61" s="54"/>
      <c r="W61" s="54"/>
      <c r="X61" s="54"/>
      <c r="Y61" s="54"/>
      <c r="Z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41"/>
      <c r="AT61" s="41"/>
      <c r="AU61" s="41"/>
      <c r="AV61" s="41"/>
    </row>
    <row r="62" spans="4:48" ht="15" customHeight="1" x14ac:dyDescent="0.2">
      <c r="D62" s="48" t="e">
        <f>IF('Furnace design'!#REF!="","",'Furnace design'!#REF!)</f>
        <v>#REF!</v>
      </c>
      <c r="E62" s="287"/>
      <c r="F62" s="288"/>
      <c r="G62" s="289"/>
      <c r="H62" s="53" t="e">
        <f t="shared" si="1"/>
        <v>#REF!</v>
      </c>
      <c r="I62" s="55" t="e">
        <f t="shared" si="3"/>
        <v>#REF!</v>
      </c>
      <c r="J62" s="188"/>
      <c r="K62" s="54"/>
      <c r="L62" s="54"/>
      <c r="M62" s="54"/>
      <c r="N62" s="15"/>
      <c r="O62" s="54"/>
      <c r="P62" s="194" t="e">
        <f>IF(I62="","",IF('Furnace design'!#REF!=1,-(#REF!-SQRT(#REF!^2-(4*#REF!*(-M62/O62))))/(2*#REF!),-(#REF!-SQRT(#REF!^2-(4*#REF!*(-(M62*$P$37)/O62))))/(2*#REF!)))</f>
        <v>#REF!</v>
      </c>
      <c r="Q62" s="54" t="e">
        <f t="shared" si="4"/>
        <v>#REF!</v>
      </c>
      <c r="R62" s="54"/>
      <c r="S62" s="54"/>
      <c r="T62" s="54">
        <f>AF15</f>
        <v>0</v>
      </c>
      <c r="U62" s="54"/>
      <c r="V62" s="54"/>
      <c r="W62" s="54"/>
      <c r="X62" s="54"/>
      <c r="Y62" s="54"/>
      <c r="Z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41"/>
      <c r="AT62" s="41"/>
      <c r="AU62" s="41"/>
      <c r="AV62" s="41"/>
    </row>
    <row r="63" spans="4:48" ht="15" customHeight="1" x14ac:dyDescent="0.2">
      <c r="D63" s="48" t="e">
        <f>IF('Furnace design'!#REF!="","",'Furnace design'!#REF!)</f>
        <v>#REF!</v>
      </c>
      <c r="E63" s="287"/>
      <c r="F63" s="288"/>
      <c r="G63" s="289"/>
      <c r="H63" s="53" t="e">
        <f t="shared" si="1"/>
        <v>#REF!</v>
      </c>
      <c r="I63" s="55" t="e">
        <f t="shared" si="3"/>
        <v>#REF!</v>
      </c>
      <c r="J63" s="188"/>
      <c r="K63" s="54"/>
      <c r="L63" s="54"/>
      <c r="M63" s="54"/>
      <c r="N63" s="15"/>
      <c r="O63" s="54"/>
      <c r="P63" s="194" t="e">
        <f>IF(I63="","",IF('Furnace design'!#REF!=1,-(#REF!-SQRT(#REF!^2-(4*#REF!*(-M63/O63))))/(2*#REF!),-(#REF!-SQRT(#REF!^2-(4*#REF!*(-(M63*$P$37)/O63))))/(2*#REF!)))</f>
        <v>#REF!</v>
      </c>
      <c r="Q63" s="54" t="e">
        <f t="shared" si="4"/>
        <v>#REF!</v>
      </c>
      <c r="R63" s="54"/>
      <c r="S63" s="54"/>
      <c r="T63" s="54">
        <f>AG19</f>
        <v>0</v>
      </c>
      <c r="U63" s="54"/>
      <c r="V63" s="54"/>
      <c r="W63" s="54"/>
      <c r="X63" s="54"/>
      <c r="Y63" s="54"/>
      <c r="Z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41"/>
      <c r="AT63" s="41"/>
      <c r="AU63" s="41"/>
      <c r="AV63" s="41"/>
    </row>
    <row r="64" spans="4:48" ht="15" customHeight="1" x14ac:dyDescent="0.2">
      <c r="D64" s="48" t="e">
        <f>IF('Furnace design'!#REF!="","",'Furnace design'!#REF!)</f>
        <v>#REF!</v>
      </c>
      <c r="E64" s="287"/>
      <c r="F64" s="288"/>
      <c r="G64" s="289"/>
      <c r="H64" s="53" t="e">
        <f t="shared" si="1"/>
        <v>#REF!</v>
      </c>
      <c r="I64" s="55" t="e">
        <f t="shared" si="3"/>
        <v>#REF!</v>
      </c>
      <c r="J64" s="188"/>
      <c r="K64" s="54"/>
      <c r="L64" s="54"/>
      <c r="M64" s="54"/>
      <c r="N64" s="15"/>
      <c r="O64" s="54"/>
      <c r="P64" s="194" t="e">
        <f>IF(I64="","",IF('Furnace design'!#REF!=1,-(#REF!-SQRT(#REF!^2-(4*#REF!*(-M64/O64))))/(2*#REF!),-(#REF!-SQRT(#REF!^2-(4*#REF!*(-(M64*$P$37)/O64))))/(2*#REF!)))</f>
        <v>#REF!</v>
      </c>
      <c r="Q64" s="54" t="e">
        <f t="shared" si="4"/>
        <v>#REF!</v>
      </c>
      <c r="R64" s="54"/>
      <c r="S64" s="54"/>
      <c r="T64" s="54">
        <f>AH15</f>
        <v>0</v>
      </c>
      <c r="U64" s="54"/>
      <c r="V64" s="54"/>
      <c r="W64" s="54"/>
      <c r="X64" s="54"/>
      <c r="Y64" s="54"/>
      <c r="Z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41"/>
      <c r="AT64" s="41"/>
      <c r="AU64" s="41"/>
      <c r="AV64" s="41"/>
    </row>
    <row r="65" spans="4:48" ht="15" customHeight="1" x14ac:dyDescent="0.2">
      <c r="D65" s="48" t="e">
        <f>IF('Furnace design'!#REF!="","",'Furnace design'!#REF!)</f>
        <v>#REF!</v>
      </c>
      <c r="E65" s="287"/>
      <c r="F65" s="288"/>
      <c r="G65" s="289"/>
      <c r="H65" s="53" t="e">
        <f t="shared" si="1"/>
        <v>#REF!</v>
      </c>
      <c r="I65" s="55" t="e">
        <f t="shared" si="3"/>
        <v>#REF!</v>
      </c>
      <c r="J65" s="188"/>
      <c r="K65" s="54"/>
      <c r="L65" s="54"/>
      <c r="M65" s="54"/>
      <c r="N65" s="15"/>
      <c r="O65" s="54"/>
      <c r="P65" s="194" t="e">
        <f>IF(I65="","",IF('Furnace design'!#REF!=1,-(#REF!-SQRT(#REF!^2-(4*#REF!*(-M65/O65))))/(2*#REF!),-(#REF!-SQRT(#REF!^2-(4*#REF!*(-(M65*$P$37)/O65))))/(2*#REF!)))</f>
        <v>#REF!</v>
      </c>
      <c r="Q65" s="54" t="e">
        <f t="shared" si="4"/>
        <v>#REF!</v>
      </c>
      <c r="R65" s="54"/>
      <c r="S65" s="54"/>
      <c r="T65" s="54">
        <f>AI19</f>
        <v>0</v>
      </c>
      <c r="U65" s="54"/>
      <c r="V65" s="54"/>
      <c r="W65" s="54"/>
      <c r="X65" s="54"/>
      <c r="Y65" s="54"/>
      <c r="Z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41"/>
      <c r="AT65" s="41"/>
      <c r="AU65" s="41"/>
      <c r="AV65" s="41"/>
    </row>
    <row r="66" spans="4:48" ht="15" customHeight="1" x14ac:dyDescent="0.2">
      <c r="D66" s="48" t="e">
        <f>IF('Furnace design'!#REF!="","",'Furnace design'!#REF!)</f>
        <v>#REF!</v>
      </c>
      <c r="E66" s="287"/>
      <c r="F66" s="288"/>
      <c r="G66" s="289"/>
      <c r="H66" s="53"/>
      <c r="I66" s="55" t="e">
        <f t="shared" si="3"/>
        <v>#REF!</v>
      </c>
      <c r="J66" s="188"/>
      <c r="K66" s="54"/>
      <c r="L66" s="54"/>
      <c r="M66" s="54"/>
      <c r="N66" s="15"/>
      <c r="O66" s="54"/>
      <c r="P66" s="194" t="e">
        <f>IF(I66="","",IF('Furnace design'!#REF!=1,-(#REF!-SQRT(#REF!^2-(4*#REF!*(-M66/O66))))/(2*#REF!),-(#REF!-SQRT(#REF!^2-(4*#REF!*(-(M66*$P$37)/O66))))/(2*#REF!)))</f>
        <v>#REF!</v>
      </c>
      <c r="Q66" s="54" t="e">
        <f t="shared" si="4"/>
        <v>#REF!</v>
      </c>
      <c r="R66" s="54"/>
      <c r="S66" s="54"/>
      <c r="T66" s="54">
        <f>AJ19</f>
        <v>0</v>
      </c>
      <c r="U66" s="54"/>
      <c r="V66" s="54"/>
      <c r="W66" s="54"/>
      <c r="X66" s="54"/>
      <c r="Y66" s="54"/>
      <c r="Z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41"/>
      <c r="AT66" s="41"/>
      <c r="AU66" s="41"/>
      <c r="AV66" s="41"/>
    </row>
    <row r="67" spans="4:48" ht="15" customHeight="1" x14ac:dyDescent="0.2">
      <c r="D67" s="48" t="e">
        <f>IF('Furnace design'!#REF!="","",'Furnace design'!#REF!)</f>
        <v>#REF!</v>
      </c>
      <c r="E67" s="287"/>
      <c r="F67" s="288"/>
      <c r="G67" s="289"/>
      <c r="H67" s="53"/>
      <c r="I67" s="55" t="e">
        <f t="shared" si="3"/>
        <v>#REF!</v>
      </c>
      <c r="J67" s="188"/>
      <c r="K67" s="54"/>
      <c r="L67" s="54"/>
      <c r="M67" s="54"/>
      <c r="N67" s="54"/>
      <c r="O67" s="54"/>
      <c r="P67" s="194" t="e">
        <f>IF(I67="","",IF('Furnace design'!#REF!=1,-(#REF!-SQRT(#REF!^2-(4*#REF!*(-M67/O67))))/(2*#REF!),-(#REF!-SQRT(#REF!^2-(4*#REF!*(-(M67*$P$37)/O67))))/(2*#REF!)))</f>
        <v>#REF!</v>
      </c>
      <c r="Q67" s="54" t="e">
        <f t="shared" si="4"/>
        <v>#REF!</v>
      </c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41"/>
      <c r="AT67" s="41"/>
      <c r="AU67" s="41"/>
      <c r="AV67" s="41"/>
    </row>
    <row r="68" spans="4:48" ht="15" customHeight="1" x14ac:dyDescent="0.2">
      <c r="D68" s="48" t="e">
        <f>IF('Furnace design'!#REF!="","",'Furnace design'!#REF!)</f>
        <v>#REF!</v>
      </c>
      <c r="E68" s="287"/>
      <c r="F68" s="288"/>
      <c r="G68" s="289"/>
      <c r="H68" s="53"/>
      <c r="I68" s="55" t="e">
        <f t="shared" si="3"/>
        <v>#REF!</v>
      </c>
      <c r="J68" s="188"/>
      <c r="K68" s="64"/>
      <c r="L68" s="54"/>
      <c r="M68" s="54"/>
      <c r="N68" s="54"/>
      <c r="O68" s="54"/>
      <c r="P68" s="194" t="e">
        <f>IF(I68="","",IF('Furnace design'!#REF!=1,-(#REF!-SQRT(#REF!^2-(4*#REF!*(-M68/O68))))/(2*#REF!),-(#REF!-SQRT(#REF!^2-(4*#REF!*(-(M68*$P$37)/O68))))/(2*#REF!)))</f>
        <v>#REF!</v>
      </c>
      <c r="Q68" s="54" t="e">
        <f t="shared" si="4"/>
        <v>#REF!</v>
      </c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41"/>
      <c r="AT68" s="41"/>
      <c r="AU68" s="41"/>
      <c r="AV68" s="41"/>
    </row>
    <row r="69" spans="4:48" ht="15" customHeight="1" x14ac:dyDescent="0.2">
      <c r="D69" s="48" t="e">
        <f>IF('Furnace design'!#REF!="","",'Furnace design'!#REF!)</f>
        <v>#REF!</v>
      </c>
      <c r="E69" s="287"/>
      <c r="F69" s="288"/>
      <c r="G69" s="289"/>
      <c r="H69" s="53"/>
      <c r="I69" s="55" t="e">
        <f t="shared" si="3"/>
        <v>#REF!</v>
      </c>
      <c r="J69" s="188"/>
      <c r="K69" s="54"/>
      <c r="L69" s="64"/>
      <c r="M69" s="54"/>
      <c r="N69" s="54"/>
      <c r="O69" s="54"/>
      <c r="P69" s="194" t="e">
        <f>IF(I69="","",IF('Furnace design'!#REF!=1,-(#REF!-SQRT(#REF!^2-(4*#REF!*(-M69/O69))))/(2*#REF!),-(#REF!-SQRT(#REF!^2-(4*#REF!*(-(M69*$P$37)/O69))))/(2*#REF!)))</f>
        <v>#REF!</v>
      </c>
      <c r="Q69" s="54" t="e">
        <f t="shared" si="4"/>
        <v>#REF!</v>
      </c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41"/>
      <c r="AT69" s="41"/>
      <c r="AU69" s="41"/>
      <c r="AV69" s="41"/>
    </row>
    <row r="70" spans="4:48" ht="15" customHeight="1" x14ac:dyDescent="0.2">
      <c r="D70" s="48" t="e">
        <f>IF('Furnace design'!#REF!="","",'Furnace design'!#REF!)</f>
        <v>#REF!</v>
      </c>
      <c r="E70" s="287"/>
      <c r="F70" s="288"/>
      <c r="G70" s="289"/>
      <c r="H70" s="53"/>
      <c r="I70" s="55" t="e">
        <f t="shared" si="3"/>
        <v>#REF!</v>
      </c>
      <c r="J70" s="188"/>
      <c r="K70" s="54"/>
      <c r="L70" s="54"/>
      <c r="M70" s="54"/>
      <c r="N70" s="54"/>
      <c r="O70" s="54"/>
      <c r="P70" s="194" t="e">
        <f>IF(I70="","",IF('Furnace design'!#REF!=1,-(#REF!-SQRT(#REF!^2-(4*#REF!*(-M70/O70))))/(2*#REF!),-(#REF!-SQRT(#REF!^2-(4*#REF!*(-(M70*$P$37)/O70))))/(2*#REF!)))</f>
        <v>#REF!</v>
      </c>
      <c r="Q70" s="54" t="e">
        <f t="shared" si="4"/>
        <v>#REF!</v>
      </c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41"/>
      <c r="AT70" s="41"/>
      <c r="AU70" s="41"/>
      <c r="AV70" s="41"/>
    </row>
    <row r="71" spans="4:48" ht="15" customHeight="1" x14ac:dyDescent="0.2">
      <c r="D71" s="48" t="e">
        <f>IF('Furnace design'!#REF!="","",'Furnace design'!#REF!)</f>
        <v>#REF!</v>
      </c>
      <c r="E71" s="287"/>
      <c r="F71" s="288"/>
      <c r="G71" s="289"/>
      <c r="H71" s="53"/>
      <c r="I71" s="55" t="e">
        <f t="shared" si="3"/>
        <v>#REF!</v>
      </c>
      <c r="J71" s="188"/>
      <c r="K71" s="54"/>
      <c r="L71" s="54"/>
      <c r="M71" s="54"/>
      <c r="N71" s="54"/>
      <c r="O71" s="54"/>
      <c r="P71" s="194" t="e">
        <f>IF(I71="","",IF('Furnace design'!#REF!=1,-(#REF!-SQRT(#REF!^2-(4*#REF!*(-M71/O71))))/(2*#REF!),-(#REF!-SQRT(#REF!^2-(4*#REF!*(-(M71*$P$37)/O71))))/(2*#REF!)))</f>
        <v>#REF!</v>
      </c>
      <c r="Q71" s="54" t="e">
        <f t="shared" si="4"/>
        <v>#REF!</v>
      </c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41"/>
      <c r="AT71" s="41"/>
      <c r="AU71" s="41"/>
      <c r="AV71" s="41"/>
    </row>
    <row r="72" spans="4:48" ht="15" customHeight="1" x14ac:dyDescent="0.2">
      <c r="D72" s="48" t="e">
        <f>IF('Furnace design'!#REF!="","",'Furnace design'!#REF!)</f>
        <v>#REF!</v>
      </c>
      <c r="E72" s="287"/>
      <c r="F72" s="288"/>
      <c r="G72" s="289"/>
      <c r="H72" s="53"/>
      <c r="I72" s="55" t="e">
        <f t="shared" si="3"/>
        <v>#REF!</v>
      </c>
      <c r="J72" s="188"/>
      <c r="K72" s="54"/>
      <c r="L72" s="54"/>
      <c r="M72" s="54"/>
      <c r="N72" s="54"/>
      <c r="O72" s="54"/>
      <c r="P72" s="194" t="e">
        <f>IF(I72="","",IF('Furnace design'!#REF!=1,-(#REF!-SQRT(#REF!^2-(4*#REF!*(-M72/O72))))/(2*#REF!),-(#REF!-SQRT(#REF!^2-(4*#REF!*(-(M72*$P$37)/O72))))/(2*#REF!)))</f>
        <v>#REF!</v>
      </c>
      <c r="Q72" s="54" t="e">
        <f t="shared" si="4"/>
        <v>#REF!</v>
      </c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41"/>
      <c r="AT72" s="41"/>
      <c r="AU72" s="41"/>
      <c r="AV72" s="41"/>
    </row>
    <row r="73" spans="4:48" ht="15" customHeight="1" x14ac:dyDescent="0.2">
      <c r="D73" s="48" t="e">
        <f>IF('Furnace design'!#REF!="","",'Furnace design'!#REF!)</f>
        <v>#REF!</v>
      </c>
      <c r="E73" s="287"/>
      <c r="F73" s="288"/>
      <c r="G73" s="289"/>
      <c r="H73" s="53"/>
      <c r="I73" s="55" t="e">
        <f t="shared" si="3"/>
        <v>#REF!</v>
      </c>
      <c r="J73" s="188"/>
      <c r="K73" s="54"/>
      <c r="L73" s="54"/>
      <c r="M73" s="54"/>
      <c r="N73" s="54"/>
      <c r="O73" s="54"/>
      <c r="P73" s="194" t="e">
        <f>IF(I73="","",IF('Furnace design'!#REF!=1,-(#REF!-SQRT(#REF!^2-(4*#REF!*(-M73/O73))))/(2*#REF!),-(#REF!-SQRT(#REF!^2-(4*#REF!*(-(M73*$P$37)/O73))))/(2*#REF!)))</f>
        <v>#REF!</v>
      </c>
      <c r="Q73" s="54" t="e">
        <f t="shared" si="4"/>
        <v>#REF!</v>
      </c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41"/>
      <c r="AT73" s="41"/>
      <c r="AU73" s="41"/>
      <c r="AV73" s="41"/>
    </row>
    <row r="74" spans="4:48" ht="15" customHeight="1" x14ac:dyDescent="0.2">
      <c r="D74" s="48" t="e">
        <f>IF('Furnace design'!#REF!="","",'Furnace design'!#REF!)</f>
        <v>#REF!</v>
      </c>
      <c r="E74" s="287"/>
      <c r="F74" s="288"/>
      <c r="G74" s="289"/>
      <c r="H74" s="53"/>
      <c r="I74" s="55" t="e">
        <f t="shared" si="3"/>
        <v>#REF!</v>
      </c>
      <c r="J74" s="188"/>
      <c r="K74" s="54"/>
      <c r="L74" s="54"/>
      <c r="M74" s="54"/>
      <c r="N74" s="54"/>
      <c r="O74" s="54"/>
      <c r="P74" s="194" t="e">
        <f>IF(I74="","",IF('Furnace design'!#REF!=1,-(#REF!-SQRT(#REF!^2-(4*#REF!*(-M74/O74))))/(2*#REF!),-(#REF!-SQRT(#REF!^2-(4*#REF!*(-(M74*$P$37)/O74))))/(2*#REF!)))</f>
        <v>#REF!</v>
      </c>
      <c r="Q74" s="54" t="e">
        <f t="shared" si="4"/>
        <v>#REF!</v>
      </c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41"/>
      <c r="AT74" s="41"/>
      <c r="AU74" s="41"/>
      <c r="AV74" s="41"/>
    </row>
    <row r="75" spans="4:48" ht="15" customHeight="1" x14ac:dyDescent="0.2">
      <c r="D75" s="48" t="str">
        <f>IF('Furnace design'!A93="","",'Furnace design'!A93)</f>
        <v/>
      </c>
      <c r="E75" s="287"/>
      <c r="F75" s="288"/>
      <c r="G75" s="289"/>
      <c r="H75" s="53"/>
      <c r="I75" s="55" t="e">
        <f t="shared" si="3"/>
        <v>#REF!</v>
      </c>
      <c r="J75" s="188"/>
      <c r="K75" s="54"/>
      <c r="L75" s="54"/>
      <c r="M75" s="54"/>
      <c r="N75" s="54"/>
      <c r="O75" s="54"/>
      <c r="P75" s="194" t="e">
        <f>IF(I75="","",IF('Furnace design'!#REF!=1,-(#REF!-SQRT(#REF!^2-(4*#REF!*(-M75/O75))))/(2*#REF!),-(#REF!-SQRT(#REF!^2-(4*#REF!*(-(M75*$P$37)/O75))))/(2*#REF!)))</f>
        <v>#REF!</v>
      </c>
      <c r="Q75" s="54" t="e">
        <f t="shared" si="4"/>
        <v>#REF!</v>
      </c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41"/>
      <c r="AT75" s="41"/>
      <c r="AU75" s="41"/>
      <c r="AV75" s="41"/>
    </row>
    <row r="76" spans="4:48" ht="15" customHeight="1" x14ac:dyDescent="0.2">
      <c r="D76" s="48" t="str">
        <f>IF('Furnace design'!A94="","",'Furnace design'!A94)</f>
        <v/>
      </c>
      <c r="E76" s="287"/>
      <c r="F76" s="288"/>
      <c r="G76" s="289"/>
      <c r="H76" s="53"/>
      <c r="I76" s="55" t="e">
        <f t="shared" si="3"/>
        <v>#REF!</v>
      </c>
      <c r="J76" s="188"/>
      <c r="K76" s="54"/>
      <c r="L76" s="54"/>
      <c r="M76" s="54"/>
      <c r="N76" s="54"/>
      <c r="O76" s="54"/>
      <c r="P76" s="194" t="e">
        <f>IF(I76="","",IF('Furnace design'!#REF!=1,-(#REF!-SQRT(#REF!^2-(4*#REF!*(-M76/O76))))/(2*#REF!),-(#REF!-SQRT(#REF!^2-(4*#REF!*(-(M76*$P$37)/O76))))/(2*#REF!)))</f>
        <v>#REF!</v>
      </c>
      <c r="Q76" s="54" t="e">
        <f t="shared" si="4"/>
        <v>#REF!</v>
      </c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41"/>
      <c r="AT76" s="41"/>
      <c r="AU76" s="41"/>
      <c r="AV76" s="41"/>
    </row>
    <row r="77" spans="4:48" ht="15" customHeight="1" x14ac:dyDescent="0.2">
      <c r="D77" s="48" t="str">
        <f>IF('Furnace design'!A95="","",'Furnace design'!A95)</f>
        <v/>
      </c>
      <c r="E77" s="287"/>
      <c r="F77" s="288"/>
      <c r="G77" s="289"/>
      <c r="H77" s="53"/>
      <c r="I77" s="55" t="e">
        <f t="shared" si="3"/>
        <v>#REF!</v>
      </c>
      <c r="J77" s="188"/>
      <c r="K77" s="54"/>
      <c r="L77" s="54"/>
      <c r="M77" s="54"/>
      <c r="N77" s="54"/>
      <c r="O77" s="54"/>
      <c r="P77" s="194" t="e">
        <f>IF(I77="","",IF('Furnace design'!#REF!=1,-(#REF!-SQRT(#REF!^2-(4*#REF!*(-M77/O77))))/(2*#REF!),-(#REF!-SQRT(#REF!^2-(4*#REF!*(-(M77*$P$37)/O77))))/(2*#REF!)))</f>
        <v>#REF!</v>
      </c>
      <c r="Q77" s="54" t="e">
        <f t="shared" si="4"/>
        <v>#REF!</v>
      </c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41"/>
      <c r="AT77" s="41"/>
      <c r="AU77" s="41"/>
      <c r="AV77" s="41"/>
    </row>
    <row r="78" spans="4:48" ht="15" customHeight="1" x14ac:dyDescent="0.2">
      <c r="D78" s="48" t="str">
        <f>IF('Furnace design'!A96="","",'Furnace design'!A96)</f>
        <v/>
      </c>
      <c r="E78" s="287"/>
      <c r="F78" s="288"/>
      <c r="G78" s="289"/>
      <c r="H78" s="53"/>
      <c r="I78" s="55" t="e">
        <f t="shared" si="3"/>
        <v>#REF!</v>
      </c>
      <c r="J78" s="188"/>
      <c r="K78" s="54"/>
      <c r="L78" s="54"/>
      <c r="M78" s="54"/>
      <c r="N78" s="54"/>
      <c r="O78" s="54"/>
      <c r="P78" s="194" t="e">
        <f>IF(I78="","",IF('Furnace design'!#REF!=1,-(#REF!-SQRT(#REF!^2-(4*#REF!*(-M78/O78))))/(2*#REF!),-(#REF!-SQRT(#REF!^2-(4*#REF!*(-(M78*$P$37)/O78))))/(2*#REF!)))</f>
        <v>#REF!</v>
      </c>
      <c r="Q78" s="54" t="e">
        <f t="shared" si="4"/>
        <v>#REF!</v>
      </c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41"/>
      <c r="AT78" s="41"/>
      <c r="AU78" s="41"/>
      <c r="AV78" s="41"/>
    </row>
    <row r="79" spans="4:48" ht="15" customHeight="1" x14ac:dyDescent="0.2">
      <c r="D79" s="48" t="str">
        <f>IF('Furnace design'!A97="","",'Furnace design'!A97)</f>
        <v/>
      </c>
      <c r="E79" s="287"/>
      <c r="F79" s="288"/>
      <c r="G79" s="289"/>
      <c r="H79" s="53"/>
      <c r="I79" s="55" t="e">
        <f t="shared" si="3"/>
        <v>#REF!</v>
      </c>
      <c r="J79" s="188"/>
      <c r="K79" s="54"/>
      <c r="L79" s="54"/>
      <c r="M79" s="54"/>
      <c r="N79" s="54"/>
      <c r="O79" s="54"/>
      <c r="P79" s="194" t="e">
        <f>IF(I79="","",IF('Furnace design'!#REF!=1,-(#REF!-SQRT(#REF!^2-(4*#REF!*(-M79/O79))))/(2*#REF!),-(#REF!-SQRT(#REF!^2-(4*#REF!*(-(M79*$P$37)/O79))))/(2*#REF!)))</f>
        <v>#REF!</v>
      </c>
      <c r="Q79" s="54" t="e">
        <f t="shared" si="4"/>
        <v>#REF!</v>
      </c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41"/>
      <c r="AT79" s="41"/>
      <c r="AU79" s="41"/>
      <c r="AV79" s="41"/>
    </row>
    <row r="80" spans="4:48" ht="15" customHeight="1" x14ac:dyDescent="0.2">
      <c r="D80" s="48" t="str">
        <f>IF('Furnace design'!A98="","",'Furnace design'!A98)</f>
        <v/>
      </c>
      <c r="E80" s="287"/>
      <c r="F80" s="288"/>
      <c r="G80" s="289"/>
      <c r="H80" s="53"/>
      <c r="I80" s="55" t="e">
        <f t="shared" si="3"/>
        <v>#REF!</v>
      </c>
      <c r="J80" s="188"/>
      <c r="K80" s="54"/>
      <c r="L80" s="54"/>
      <c r="M80" s="54"/>
      <c r="N80" s="54"/>
      <c r="O80" s="54"/>
      <c r="P80" s="194" t="e">
        <f>IF(I80="","",IF('Furnace design'!#REF!=1,-(#REF!-SQRT(#REF!^2-(4*#REF!*(-M80/O80))))/(2*#REF!),-(#REF!-SQRT(#REF!^2-(4*#REF!*(-(M80*$P$37)/O80))))/(2*#REF!)))</f>
        <v>#REF!</v>
      </c>
      <c r="Q80" s="54" t="e">
        <f t="shared" si="4"/>
        <v>#REF!</v>
      </c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41"/>
      <c r="AT80" s="41"/>
      <c r="AU80" s="41"/>
      <c r="AV80" s="41"/>
    </row>
    <row r="81" spans="4:48" ht="15" customHeight="1" x14ac:dyDescent="0.2">
      <c r="D81" s="48" t="str">
        <f>IF('Furnace design'!A99="","",'Furnace design'!A99)</f>
        <v/>
      </c>
      <c r="E81" s="287"/>
      <c r="F81" s="288"/>
      <c r="G81" s="289"/>
      <c r="H81" s="53"/>
      <c r="I81" s="55" t="e">
        <f t="shared" si="3"/>
        <v>#REF!</v>
      </c>
      <c r="J81" s="188"/>
      <c r="K81" s="54"/>
      <c r="L81" s="54"/>
      <c r="M81" s="54"/>
      <c r="N81" s="54"/>
      <c r="O81" s="54"/>
      <c r="P81" s="194" t="e">
        <f>IF(I81="","",IF('Furnace design'!#REF!=1,-(#REF!-SQRT(#REF!^2-(4*#REF!*(-M81/O81))))/(2*#REF!),-(#REF!-SQRT(#REF!^2-(4*#REF!*(-(M81*$P$37)/O81))))/(2*#REF!)))</f>
        <v>#REF!</v>
      </c>
      <c r="Q81" s="54" t="e">
        <f t="shared" si="4"/>
        <v>#REF!</v>
      </c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41"/>
      <c r="AT81" s="41"/>
      <c r="AU81" s="41"/>
      <c r="AV81" s="41"/>
    </row>
    <row r="82" spans="4:48" ht="15" customHeight="1" x14ac:dyDescent="0.2">
      <c r="D82" s="48" t="str">
        <f>IF('Furnace design'!A100="","",'Furnace design'!A100)</f>
        <v/>
      </c>
      <c r="E82" s="287"/>
      <c r="F82" s="288"/>
      <c r="G82" s="289"/>
      <c r="H82" s="53"/>
      <c r="I82" s="55" t="e">
        <f t="shared" si="3"/>
        <v>#REF!</v>
      </c>
      <c r="J82" s="188"/>
      <c r="K82" s="54"/>
      <c r="L82" s="54"/>
      <c r="M82" s="54"/>
      <c r="N82" s="54"/>
      <c r="O82" s="54"/>
      <c r="P82" s="194" t="e">
        <f>IF(I82="","",IF('Furnace design'!#REF!=1,-(#REF!-SQRT(#REF!^2-(4*#REF!*(-M82/O82))))/(2*#REF!),-(#REF!-SQRT(#REF!^2-(4*#REF!*(-(M82*$P$37)/O82))))/(2*#REF!)))</f>
        <v>#REF!</v>
      </c>
      <c r="Q82" s="54" t="e">
        <f t="shared" si="4"/>
        <v>#REF!</v>
      </c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41"/>
      <c r="AT82" s="41"/>
      <c r="AU82" s="41"/>
      <c r="AV82" s="41"/>
    </row>
    <row r="83" spans="4:48" ht="15" customHeight="1" x14ac:dyDescent="0.2">
      <c r="D83" s="48" t="str">
        <f>IF('Furnace design'!A101="","",'Furnace design'!A101)</f>
        <v/>
      </c>
      <c r="E83" s="287"/>
      <c r="F83" s="288"/>
      <c r="G83" s="289"/>
      <c r="H83" s="53"/>
      <c r="I83" s="55" t="e">
        <f t="shared" si="3"/>
        <v>#REF!</v>
      </c>
      <c r="J83" s="188"/>
      <c r="K83" s="54"/>
      <c r="L83" s="54"/>
      <c r="M83" s="54"/>
      <c r="N83" s="54"/>
      <c r="O83" s="54"/>
      <c r="P83" s="194" t="e">
        <f>IF(I83="","",IF('Furnace design'!#REF!=1,-(#REF!-SQRT(#REF!^2-(4*#REF!*(-M83/O83))))/(2*#REF!),-(#REF!-SQRT(#REF!^2-(4*#REF!*(-(M83*$P$37)/O83))))/(2*#REF!)))</f>
        <v>#REF!</v>
      </c>
      <c r="Q83" s="54" t="e">
        <f t="shared" si="4"/>
        <v>#REF!</v>
      </c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41"/>
      <c r="AT83" s="41"/>
      <c r="AU83" s="41"/>
      <c r="AV83" s="41"/>
    </row>
    <row r="84" spans="4:48" ht="15" customHeight="1" x14ac:dyDescent="0.2">
      <c r="D84" s="48" t="str">
        <f>IF('Furnace design'!A102="","",'Furnace design'!A102)</f>
        <v/>
      </c>
      <c r="E84" s="287"/>
      <c r="F84" s="288"/>
      <c r="G84" s="289"/>
      <c r="H84" s="53"/>
      <c r="I84" s="55" t="e">
        <f t="shared" si="3"/>
        <v>#REF!</v>
      </c>
      <c r="J84" s="188"/>
      <c r="K84" s="54"/>
      <c r="L84" s="54"/>
      <c r="M84" s="54"/>
      <c r="N84" s="54"/>
      <c r="O84" s="54"/>
      <c r="P84" s="194" t="e">
        <f>IF(I84="","",IF('Furnace design'!#REF!=1,-(#REF!-SQRT(#REF!^2-(4*#REF!*(-M84/O84))))/(2*#REF!),-(#REF!-SQRT(#REF!^2-(4*#REF!*(-(M84*$P$37)/O84))))/(2*#REF!)))</f>
        <v>#REF!</v>
      </c>
      <c r="Q84" s="54" t="e">
        <f t="shared" si="4"/>
        <v>#REF!</v>
      </c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41"/>
      <c r="AT84" s="41"/>
      <c r="AU84" s="41"/>
      <c r="AV84" s="41"/>
    </row>
    <row r="85" spans="4:48" ht="15" customHeight="1" x14ac:dyDescent="0.2">
      <c r="D85" s="48" t="str">
        <f>IF('Furnace design'!A103="","",'Furnace design'!A103)</f>
        <v/>
      </c>
      <c r="E85" s="287"/>
      <c r="F85" s="288"/>
      <c r="G85" s="289"/>
      <c r="H85" s="53"/>
      <c r="I85" s="55" t="e">
        <f t="shared" si="3"/>
        <v>#REF!</v>
      </c>
      <c r="J85" s="189"/>
      <c r="K85" s="54"/>
      <c r="L85" s="54"/>
      <c r="M85" s="54"/>
      <c r="N85" s="54"/>
      <c r="O85" s="54"/>
      <c r="P85" s="194" t="e">
        <f>IF(I85="","",IF('Furnace design'!#REF!=1,-(#REF!-SQRT(#REF!^2-(4*#REF!*(-M85/O85))))/(2*#REF!),-(#REF!-SQRT(#REF!^2-(4*#REF!*(-(M85*$P$37)/O85))))/(2*#REF!)))</f>
        <v>#REF!</v>
      </c>
      <c r="Q85" s="54" t="e">
        <f t="shared" si="4"/>
        <v>#REF!</v>
      </c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</row>
    <row r="86" spans="4:48" ht="15" customHeight="1" x14ac:dyDescent="0.2">
      <c r="D86" s="48" t="str">
        <f>IF('Furnace design'!A104="","",'Furnace design'!A104)</f>
        <v/>
      </c>
      <c r="E86" s="287"/>
      <c r="F86" s="288"/>
      <c r="G86" s="289"/>
      <c r="H86" s="53"/>
      <c r="I86" s="55" t="e">
        <f t="shared" si="3"/>
        <v>#REF!</v>
      </c>
      <c r="J86" s="189"/>
      <c r="K86" s="54"/>
      <c r="L86" s="54"/>
      <c r="M86" s="54"/>
      <c r="N86" s="54"/>
      <c r="O86" s="54"/>
      <c r="P86" s="194" t="e">
        <f>IF(I86="","",IF('Furnace design'!#REF!=1,-(#REF!-SQRT(#REF!^2-(4*#REF!*(-M86/O86))))/(2*#REF!),-(#REF!-SQRT(#REF!^2-(4*#REF!*(-(M86*$P$37)/O86))))/(2*#REF!)))</f>
        <v>#REF!</v>
      </c>
      <c r="Q86" s="54" t="e">
        <f t="shared" si="4"/>
        <v>#REF!</v>
      </c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</row>
    <row r="87" spans="4:48" ht="15" customHeight="1" x14ac:dyDescent="0.2">
      <c r="D87" s="48" t="str">
        <f>IF('Furnace design'!A105="","",'Furnace design'!A105)</f>
        <v/>
      </c>
      <c r="E87" s="287"/>
      <c r="F87" s="288"/>
      <c r="G87" s="289"/>
      <c r="H87" s="53"/>
      <c r="I87" s="55" t="e">
        <f t="shared" si="3"/>
        <v>#REF!</v>
      </c>
      <c r="J87" s="189"/>
      <c r="K87" s="54"/>
      <c r="L87" s="54"/>
      <c r="M87" s="54"/>
      <c r="N87" s="54"/>
      <c r="O87" s="54"/>
      <c r="P87" s="194" t="e">
        <f>IF(I87="","",IF('Furnace design'!#REF!=1,-(#REF!-SQRT(#REF!^2-(4*#REF!*(-M87/O87))))/(2*#REF!),-(#REF!-SQRT(#REF!^2-(4*#REF!*(-(M87*$P$37)/O87))))/(2*#REF!)))</f>
        <v>#REF!</v>
      </c>
      <c r="Q87" s="54" t="e">
        <f t="shared" si="4"/>
        <v>#REF!</v>
      </c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</row>
    <row r="88" spans="4:48" ht="15" customHeight="1" x14ac:dyDescent="0.2">
      <c r="D88" s="48" t="str">
        <f>IF('Furnace design'!A106="","",'Furnace design'!A106)</f>
        <v/>
      </c>
      <c r="E88" s="287"/>
      <c r="F88" s="288"/>
      <c r="G88" s="289"/>
      <c r="H88" s="53"/>
      <c r="I88" s="55" t="e">
        <f t="shared" si="3"/>
        <v>#REF!</v>
      </c>
      <c r="J88" s="189"/>
      <c r="K88" s="54"/>
      <c r="L88" s="54"/>
      <c r="M88" s="54"/>
      <c r="N88" s="54"/>
      <c r="O88" s="54"/>
      <c r="P88" s="194" t="e">
        <f>IF(I88="","",IF('Furnace design'!#REF!=1,-(#REF!-SQRT(#REF!^2-(4*#REF!*(-M88/O88))))/(2*#REF!),-(#REF!-SQRT(#REF!^2-(4*#REF!*(-(M88*$P$37)/O88))))/(2*#REF!)))</f>
        <v>#REF!</v>
      </c>
      <c r="Q88" s="54" t="e">
        <f t="shared" si="4"/>
        <v>#REF!</v>
      </c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</row>
    <row r="89" spans="4:48" ht="15" customHeight="1" x14ac:dyDescent="0.2">
      <c r="D89" s="48" t="str">
        <f>IF('Furnace design'!A107="","",'Furnace design'!A107)</f>
        <v/>
      </c>
      <c r="E89" s="287"/>
      <c r="F89" s="288"/>
      <c r="G89" s="289"/>
      <c r="H89" s="53"/>
      <c r="I89" s="55" t="e">
        <f t="shared" si="3"/>
        <v>#REF!</v>
      </c>
      <c r="J89" s="189"/>
      <c r="K89" s="54"/>
      <c r="L89" s="54"/>
      <c r="M89" s="54"/>
      <c r="N89" s="54"/>
      <c r="O89" s="54"/>
      <c r="P89" s="194" t="e">
        <f>IF(I89="","",IF('Furnace design'!#REF!=1,-(#REF!-SQRT(#REF!^2-(4*#REF!*(-M89/O89))))/(2*#REF!),-(#REF!-SQRT(#REF!^2-(4*#REF!*(-(M89*$P$37)/O89))))/(2*#REF!)))</f>
        <v>#REF!</v>
      </c>
      <c r="Q89" s="54" t="e">
        <f t="shared" si="4"/>
        <v>#REF!</v>
      </c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</row>
    <row r="90" spans="4:48" ht="15" customHeight="1" x14ac:dyDescent="0.2">
      <c r="D90" s="48" t="str">
        <f>IF('Furnace design'!A108="","",'Furnace design'!A108)</f>
        <v/>
      </c>
      <c r="E90" s="287"/>
      <c r="F90" s="288"/>
      <c r="G90" s="289"/>
      <c r="H90" s="53"/>
      <c r="I90" s="55" t="e">
        <f t="shared" si="3"/>
        <v>#REF!</v>
      </c>
      <c r="J90" s="189"/>
      <c r="K90" s="54"/>
      <c r="L90" s="54"/>
      <c r="M90" s="54"/>
      <c r="N90" s="54"/>
      <c r="O90" s="54"/>
      <c r="P90" s="194" t="e">
        <f>IF(I90="","",IF('Furnace design'!#REF!=1,-(#REF!-SQRT(#REF!^2-(4*#REF!*(-M90/O90))))/(2*#REF!),-(#REF!-SQRT(#REF!^2-(4*#REF!*(-(M90*$P$37)/O90))))/(2*#REF!)))</f>
        <v>#REF!</v>
      </c>
      <c r="Q90" s="54" t="e">
        <f t="shared" si="4"/>
        <v>#REF!</v>
      </c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</row>
    <row r="91" spans="4:48" ht="15" customHeight="1" x14ac:dyDescent="0.2">
      <c r="D91" s="48" t="str">
        <f>IF('Furnace design'!A109="","",'Furnace design'!A109)</f>
        <v/>
      </c>
      <c r="E91" s="287"/>
      <c r="F91" s="288"/>
      <c r="G91" s="289"/>
      <c r="H91" s="53"/>
      <c r="I91" s="55" t="e">
        <f t="shared" si="3"/>
        <v>#REF!</v>
      </c>
      <c r="J91" s="189"/>
      <c r="K91" s="54"/>
      <c r="L91" s="54"/>
      <c r="M91" s="54"/>
      <c r="N91" s="54"/>
      <c r="O91" s="54"/>
      <c r="P91" s="54"/>
      <c r="Q91" s="54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</row>
    <row r="92" spans="4:48" ht="15" customHeight="1" x14ac:dyDescent="0.2">
      <c r="D92" s="48" t="str">
        <f>IF('Furnace design'!A110="","",'Furnace design'!A110)</f>
        <v/>
      </c>
      <c r="E92" s="287"/>
      <c r="F92" s="288"/>
      <c r="G92" s="289"/>
      <c r="H92" s="53"/>
      <c r="I92" s="55" t="e">
        <f t="shared" si="3"/>
        <v>#REF!</v>
      </c>
      <c r="J92" s="189"/>
      <c r="K92" s="54"/>
      <c r="L92" s="54"/>
      <c r="M92" s="54"/>
      <c r="N92" s="54"/>
      <c r="O92" s="54"/>
      <c r="P92" s="54"/>
      <c r="Q92" s="54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</row>
    <row r="93" spans="4:48" ht="15" customHeight="1" x14ac:dyDescent="0.2">
      <c r="D93" s="48" t="str">
        <f>IF('Furnace design'!A111="","",'Furnace design'!A111)</f>
        <v/>
      </c>
      <c r="E93" s="287"/>
      <c r="F93" s="288"/>
      <c r="G93" s="289"/>
      <c r="H93" s="53"/>
      <c r="I93" s="55" t="e">
        <f t="shared" si="3"/>
        <v>#REF!</v>
      </c>
      <c r="J93" s="189"/>
      <c r="K93" s="54"/>
      <c r="L93" s="54"/>
      <c r="M93" s="54"/>
      <c r="N93" s="54"/>
      <c r="O93" s="54"/>
      <c r="P93" s="54"/>
      <c r="Q93" s="54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</row>
    <row r="94" spans="4:48" ht="15" customHeight="1" x14ac:dyDescent="0.2">
      <c r="D94" s="48" t="str">
        <f>IF('Furnace design'!A112="","",'Furnace design'!A112)</f>
        <v/>
      </c>
      <c r="E94" s="287"/>
      <c r="F94" s="288"/>
      <c r="G94" s="289"/>
      <c r="H94" s="53"/>
      <c r="I94" s="55" t="e">
        <f t="shared" si="3"/>
        <v>#REF!</v>
      </c>
      <c r="J94" s="189"/>
      <c r="K94" s="54"/>
      <c r="L94" s="54"/>
      <c r="M94" s="54"/>
      <c r="N94" s="54"/>
      <c r="O94" s="54"/>
      <c r="P94" s="54"/>
      <c r="Q94" s="54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</row>
    <row r="95" spans="4:48" ht="15" customHeight="1" x14ac:dyDescent="0.2">
      <c r="D95" s="48" t="str">
        <f>IF('Furnace design'!A113="","",'Furnace design'!A113)</f>
        <v/>
      </c>
      <c r="E95" s="287"/>
      <c r="F95" s="288"/>
      <c r="G95" s="289"/>
      <c r="H95" s="53"/>
      <c r="I95" s="55" t="e">
        <f t="shared" si="3"/>
        <v>#REF!</v>
      </c>
      <c r="J95" s="189"/>
      <c r="K95" s="54"/>
      <c r="L95" s="54"/>
      <c r="M95" s="54"/>
      <c r="N95" s="54"/>
      <c r="O95" s="54"/>
      <c r="P95" s="54"/>
      <c r="Q95" s="54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</row>
    <row r="96" spans="4:48" ht="15" customHeight="1" x14ac:dyDescent="0.2">
      <c r="D96" s="65"/>
      <c r="E96" s="287"/>
      <c r="F96" s="288"/>
      <c r="G96" s="289"/>
      <c r="H96" s="53"/>
      <c r="I96" s="55" t="e">
        <f t="shared" si="3"/>
        <v>#REF!</v>
      </c>
      <c r="J96" s="189"/>
      <c r="K96" s="54"/>
      <c r="L96" s="54"/>
      <c r="M96" s="54"/>
      <c r="N96" s="54"/>
      <c r="O96" s="54"/>
      <c r="P96" s="54"/>
      <c r="Q96" s="54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</row>
    <row r="97" spans="4:48" ht="15" customHeight="1" x14ac:dyDescent="0.2">
      <c r="D97" s="65"/>
      <c r="E97" s="287"/>
      <c r="F97" s="288"/>
      <c r="G97" s="289"/>
      <c r="H97" s="66"/>
      <c r="I97" s="55" t="e">
        <f t="shared" si="3"/>
        <v>#REF!</v>
      </c>
      <c r="J97" s="189"/>
      <c r="K97" s="54"/>
      <c r="L97" s="54"/>
      <c r="M97" s="54"/>
      <c r="N97" s="54"/>
      <c r="O97" s="54"/>
      <c r="P97" s="54"/>
      <c r="Q97" s="54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</row>
    <row r="98" spans="4:48" ht="15" customHeight="1" x14ac:dyDescent="0.2">
      <c r="D98" s="65"/>
      <c r="E98" s="287"/>
      <c r="F98" s="288"/>
      <c r="G98" s="289"/>
      <c r="H98" s="66"/>
      <c r="I98" s="55" t="e">
        <f t="shared" si="3"/>
        <v>#REF!</v>
      </c>
      <c r="J98" s="189"/>
      <c r="K98" s="54"/>
      <c r="L98" s="54"/>
      <c r="M98" s="54"/>
      <c r="N98" s="54"/>
      <c r="O98" s="54"/>
      <c r="P98" s="54"/>
      <c r="Q98" s="54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</row>
    <row r="99" spans="4:48" ht="15" customHeight="1" x14ac:dyDescent="0.2">
      <c r="D99" s="65"/>
      <c r="E99" s="287"/>
      <c r="F99" s="288"/>
      <c r="G99" s="289"/>
      <c r="H99" s="66"/>
      <c r="I99" s="55" t="e">
        <f t="shared" si="3"/>
        <v>#REF!</v>
      </c>
      <c r="J99" s="189"/>
      <c r="K99" s="54"/>
      <c r="L99" s="54"/>
      <c r="M99" s="54"/>
      <c r="N99" s="54"/>
      <c r="O99" s="54"/>
      <c r="P99" s="54"/>
      <c r="Q99" s="54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</row>
    <row r="100" spans="4:48" ht="15" customHeight="1" x14ac:dyDescent="0.2">
      <c r="D100" s="65"/>
      <c r="E100" s="287"/>
      <c r="F100" s="288"/>
      <c r="G100" s="289"/>
      <c r="H100" s="66"/>
      <c r="I100" s="55" t="str">
        <f t="shared" si="3"/>
        <v/>
      </c>
      <c r="J100" s="189"/>
      <c r="K100" s="54"/>
      <c r="L100" s="54"/>
      <c r="M100" s="54"/>
      <c r="N100" s="54"/>
      <c r="O100" s="54"/>
      <c r="P100" s="54"/>
      <c r="Q100" s="54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</row>
    <row r="101" spans="4:48" ht="15" customHeight="1" x14ac:dyDescent="0.2">
      <c r="D101" s="65"/>
      <c r="E101" s="287"/>
      <c r="F101" s="288"/>
      <c r="G101" s="289"/>
      <c r="H101" s="66"/>
      <c r="I101" s="55" t="str">
        <f t="shared" si="3"/>
        <v/>
      </c>
      <c r="J101" s="189"/>
      <c r="K101" s="54"/>
      <c r="L101" s="54"/>
      <c r="M101" s="54"/>
      <c r="N101" s="54"/>
      <c r="O101" s="54"/>
      <c r="P101" s="54"/>
      <c r="Q101" s="54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</row>
    <row r="102" spans="4:48" ht="15" customHeight="1" x14ac:dyDescent="0.2">
      <c r="D102" s="65"/>
      <c r="E102" s="287"/>
      <c r="F102" s="288"/>
      <c r="G102" s="289"/>
      <c r="H102" s="66"/>
      <c r="I102" s="55" t="str">
        <f t="shared" si="3"/>
        <v/>
      </c>
      <c r="J102" s="189"/>
      <c r="K102" s="54"/>
      <c r="L102" s="54"/>
      <c r="M102" s="54"/>
      <c r="N102" s="54"/>
      <c r="O102" s="54"/>
      <c r="P102" s="54"/>
      <c r="Q102" s="54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</row>
    <row r="103" spans="4:48" ht="15" customHeight="1" x14ac:dyDescent="0.2">
      <c r="D103" s="65"/>
      <c r="E103" s="287"/>
      <c r="F103" s="288"/>
      <c r="G103" s="289"/>
      <c r="H103" s="66"/>
      <c r="I103" s="55" t="str">
        <f t="shared" si="3"/>
        <v/>
      </c>
      <c r="J103" s="189"/>
      <c r="K103" s="54"/>
      <c r="L103" s="54"/>
      <c r="M103" s="54"/>
      <c r="N103" s="54"/>
      <c r="O103" s="54"/>
      <c r="P103" s="54"/>
      <c r="Q103" s="54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</row>
    <row r="104" spans="4:48" ht="15" customHeight="1" x14ac:dyDescent="0.2">
      <c r="D104" s="65"/>
      <c r="E104" s="287"/>
      <c r="F104" s="288"/>
      <c r="G104" s="289"/>
      <c r="H104" s="66"/>
      <c r="I104" s="55" t="str">
        <f t="shared" ref="I104:I120" si="5">D79</f>
        <v/>
      </c>
      <c r="J104" s="189"/>
      <c r="K104" s="54"/>
      <c r="L104" s="54"/>
      <c r="M104" s="54"/>
      <c r="N104" s="54"/>
      <c r="O104" s="54"/>
      <c r="P104" s="54"/>
      <c r="Q104" s="54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</row>
    <row r="105" spans="4:48" ht="15" customHeight="1" x14ac:dyDescent="0.2">
      <c r="D105" s="65"/>
      <c r="E105" s="287"/>
      <c r="F105" s="288"/>
      <c r="G105" s="289"/>
      <c r="H105" s="66"/>
      <c r="I105" s="55" t="str">
        <f t="shared" si="5"/>
        <v/>
      </c>
      <c r="J105" s="189"/>
      <c r="K105" s="54"/>
      <c r="L105" s="54"/>
      <c r="M105" s="54"/>
      <c r="N105" s="54"/>
      <c r="O105" s="54"/>
      <c r="P105" s="54"/>
      <c r="Q105" s="54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</row>
    <row r="106" spans="4:48" ht="15" customHeight="1" x14ac:dyDescent="0.2">
      <c r="D106" s="65"/>
      <c r="E106" s="287"/>
      <c r="F106" s="288"/>
      <c r="G106" s="289"/>
      <c r="H106" s="66"/>
      <c r="I106" s="55" t="str">
        <f t="shared" si="5"/>
        <v/>
      </c>
      <c r="J106" s="189"/>
      <c r="K106" s="54"/>
      <c r="L106" s="54"/>
      <c r="M106" s="54"/>
      <c r="N106" s="54"/>
      <c r="O106" s="54"/>
      <c r="P106" s="54"/>
      <c r="Q106" s="54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</row>
    <row r="107" spans="4:48" ht="15" customHeight="1" x14ac:dyDescent="0.2">
      <c r="D107" s="65"/>
      <c r="E107" s="287"/>
      <c r="F107" s="288"/>
      <c r="G107" s="289"/>
      <c r="H107" s="66"/>
      <c r="I107" s="55" t="str">
        <f t="shared" si="5"/>
        <v/>
      </c>
      <c r="J107" s="189"/>
      <c r="K107" s="54"/>
      <c r="L107" s="54"/>
      <c r="M107" s="54"/>
      <c r="N107" s="54"/>
      <c r="O107" s="54"/>
      <c r="P107" s="54"/>
      <c r="Q107" s="54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</row>
    <row r="108" spans="4:48" ht="15" customHeight="1" x14ac:dyDescent="0.2">
      <c r="D108" s="65"/>
      <c r="E108" s="287"/>
      <c r="F108" s="288"/>
      <c r="G108" s="289"/>
      <c r="H108" s="66"/>
      <c r="I108" s="55" t="str">
        <f t="shared" si="5"/>
        <v/>
      </c>
      <c r="J108" s="189"/>
      <c r="K108" s="54"/>
      <c r="L108" s="54"/>
      <c r="M108" s="54"/>
      <c r="N108" s="54"/>
      <c r="O108" s="54"/>
      <c r="P108" s="54"/>
      <c r="Q108" s="54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</row>
    <row r="109" spans="4:48" ht="15" customHeight="1" x14ac:dyDescent="0.2">
      <c r="D109" s="65"/>
      <c r="E109" s="287"/>
      <c r="F109" s="288"/>
      <c r="G109" s="289"/>
      <c r="H109" s="66"/>
      <c r="I109" s="55" t="str">
        <f t="shared" si="5"/>
        <v/>
      </c>
      <c r="J109" s="189"/>
      <c r="K109" s="54"/>
      <c r="L109" s="54"/>
      <c r="M109" s="54"/>
      <c r="N109" s="54"/>
      <c r="O109" s="54"/>
      <c r="P109" s="54"/>
      <c r="Q109" s="54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</row>
    <row r="110" spans="4:48" ht="15" customHeight="1" x14ac:dyDescent="0.2">
      <c r="D110" s="65"/>
      <c r="E110" s="287"/>
      <c r="F110" s="288"/>
      <c r="G110" s="289"/>
      <c r="H110" s="66"/>
      <c r="I110" s="55" t="str">
        <f t="shared" si="5"/>
        <v/>
      </c>
      <c r="J110" s="189"/>
      <c r="K110" s="54"/>
      <c r="L110" s="54"/>
      <c r="M110" s="54"/>
      <c r="N110" s="54"/>
      <c r="O110" s="54"/>
      <c r="P110" s="54"/>
      <c r="Q110" s="54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</row>
    <row r="111" spans="4:48" x14ac:dyDescent="0.2">
      <c r="D111" s="65"/>
      <c r="E111" s="287"/>
      <c r="F111" s="288"/>
      <c r="G111" s="289"/>
      <c r="H111" s="66"/>
      <c r="I111" s="55" t="str">
        <f t="shared" si="5"/>
        <v/>
      </c>
      <c r="J111" s="189"/>
      <c r="K111" s="54"/>
      <c r="L111" s="54"/>
      <c r="M111" s="54"/>
      <c r="N111" s="54"/>
      <c r="O111" s="54"/>
      <c r="P111" s="54"/>
      <c r="Q111" s="54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</row>
    <row r="112" spans="4:48" x14ac:dyDescent="0.2">
      <c r="D112" s="65"/>
      <c r="E112" s="287"/>
      <c r="F112" s="288"/>
      <c r="G112" s="289"/>
      <c r="H112" s="66"/>
      <c r="I112" s="55" t="str">
        <f t="shared" si="5"/>
        <v/>
      </c>
      <c r="J112" s="189"/>
      <c r="K112" s="54"/>
      <c r="L112" s="54"/>
      <c r="M112" s="54"/>
      <c r="N112" s="54"/>
      <c r="O112" s="54"/>
      <c r="P112" s="54"/>
      <c r="Q112" s="54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</row>
    <row r="113" spans="4:48" x14ac:dyDescent="0.2">
      <c r="D113" s="65"/>
      <c r="E113" s="287"/>
      <c r="F113" s="288"/>
      <c r="G113" s="289"/>
      <c r="H113" s="66"/>
      <c r="I113" s="55" t="str">
        <f t="shared" si="5"/>
        <v/>
      </c>
      <c r="J113" s="189"/>
      <c r="K113" s="54"/>
      <c r="L113" s="54"/>
      <c r="M113" s="54"/>
      <c r="N113" s="54"/>
      <c r="O113" s="54"/>
      <c r="P113" s="54"/>
      <c r="Q113" s="54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</row>
    <row r="114" spans="4:48" x14ac:dyDescent="0.2">
      <c r="D114" s="65"/>
      <c r="E114" s="287"/>
      <c r="F114" s="288"/>
      <c r="G114" s="289"/>
      <c r="H114" s="66"/>
      <c r="I114" s="55" t="str">
        <f t="shared" si="5"/>
        <v/>
      </c>
      <c r="J114" s="189"/>
      <c r="K114" s="54"/>
      <c r="L114" s="54"/>
      <c r="M114" s="54"/>
      <c r="N114" s="54"/>
      <c r="O114" s="54"/>
      <c r="P114" s="54"/>
      <c r="Q114" s="54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</row>
    <row r="115" spans="4:48" x14ac:dyDescent="0.2">
      <c r="D115" s="65"/>
      <c r="E115" s="287"/>
      <c r="F115" s="288"/>
      <c r="G115" s="289"/>
      <c r="H115" s="66"/>
      <c r="I115" s="55" t="str">
        <f t="shared" si="5"/>
        <v/>
      </c>
      <c r="J115" s="189"/>
      <c r="K115" s="54"/>
      <c r="L115" s="54"/>
      <c r="M115" s="54"/>
      <c r="N115" s="54"/>
      <c r="O115" s="54"/>
      <c r="P115" s="54"/>
      <c r="Q115" s="54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</row>
    <row r="116" spans="4:48" x14ac:dyDescent="0.2">
      <c r="D116" s="65"/>
      <c r="E116" s="287"/>
      <c r="F116" s="288"/>
      <c r="G116" s="289"/>
      <c r="H116" s="66"/>
      <c r="I116" s="55" t="str">
        <f t="shared" si="5"/>
        <v/>
      </c>
      <c r="J116" s="189"/>
      <c r="K116" s="54"/>
      <c r="L116" s="54"/>
      <c r="M116" s="54"/>
      <c r="N116" s="54"/>
      <c r="O116" s="54"/>
      <c r="P116" s="54"/>
      <c r="Q116" s="54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</row>
    <row r="117" spans="4:48" x14ac:dyDescent="0.2">
      <c r="D117" s="65"/>
      <c r="E117" s="287"/>
      <c r="F117" s="288"/>
      <c r="G117" s="289"/>
      <c r="H117" s="66"/>
      <c r="I117" s="55" t="str">
        <f t="shared" si="5"/>
        <v/>
      </c>
      <c r="J117" s="189"/>
      <c r="K117" s="54"/>
      <c r="L117" s="54"/>
      <c r="M117" s="54"/>
      <c r="N117" s="54"/>
      <c r="O117" s="54"/>
      <c r="P117" s="54"/>
      <c r="Q117" s="54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</row>
    <row r="118" spans="4:48" x14ac:dyDescent="0.2">
      <c r="D118" s="65"/>
      <c r="E118" s="287"/>
      <c r="F118" s="288"/>
      <c r="G118" s="289"/>
      <c r="H118" s="66"/>
      <c r="I118" s="55" t="str">
        <f t="shared" si="5"/>
        <v/>
      </c>
      <c r="J118" s="189"/>
      <c r="K118" s="54"/>
      <c r="L118" s="54"/>
      <c r="M118" s="54"/>
      <c r="N118" s="54"/>
      <c r="O118" s="54"/>
      <c r="P118" s="54"/>
      <c r="Q118" s="54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</row>
    <row r="119" spans="4:48" x14ac:dyDescent="0.2">
      <c r="D119" s="65"/>
      <c r="E119" s="287"/>
      <c r="F119" s="288"/>
      <c r="G119" s="289"/>
      <c r="H119" s="66"/>
      <c r="I119" s="55" t="str">
        <f t="shared" si="5"/>
        <v/>
      </c>
      <c r="J119" s="189"/>
      <c r="K119" s="54"/>
      <c r="L119" s="54"/>
      <c r="M119" s="54"/>
      <c r="N119" s="54"/>
      <c r="O119" s="54"/>
      <c r="P119" s="54"/>
      <c r="Q119" s="54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</row>
    <row r="120" spans="4:48" x14ac:dyDescent="0.2">
      <c r="D120" s="65"/>
      <c r="E120" s="287"/>
      <c r="F120" s="288"/>
      <c r="G120" s="289"/>
      <c r="H120" s="66"/>
      <c r="I120" s="55" t="str">
        <f t="shared" si="5"/>
        <v/>
      </c>
      <c r="J120" s="189"/>
      <c r="K120" s="54"/>
      <c r="L120" s="54"/>
      <c r="M120" s="54"/>
      <c r="N120" s="54"/>
      <c r="O120" s="54"/>
      <c r="P120" s="54"/>
      <c r="Q120" s="54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</row>
    <row r="121" spans="4:48" x14ac:dyDescent="0.2">
      <c r="D121" s="65"/>
      <c r="E121" s="287"/>
      <c r="F121" s="288"/>
      <c r="G121" s="289"/>
      <c r="H121" s="66"/>
      <c r="I121" s="55"/>
      <c r="J121" s="189"/>
      <c r="K121" s="54"/>
      <c r="L121" s="54"/>
      <c r="M121" s="54"/>
      <c r="N121" s="54"/>
      <c r="O121" s="54"/>
      <c r="P121" s="54"/>
      <c r="Q121" s="54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</row>
    <row r="122" spans="4:48" x14ac:dyDescent="0.2">
      <c r="D122" s="65"/>
      <c r="E122" s="287"/>
      <c r="F122" s="288"/>
      <c r="G122" s="289"/>
      <c r="H122" s="66"/>
      <c r="I122" s="55"/>
      <c r="J122" s="189"/>
      <c r="K122" s="54"/>
      <c r="L122" s="54"/>
      <c r="M122" s="54"/>
      <c r="N122" s="54"/>
      <c r="O122" s="54"/>
      <c r="P122" s="54"/>
      <c r="Q122" s="54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</row>
    <row r="123" spans="4:48" x14ac:dyDescent="0.2">
      <c r="D123" s="65"/>
      <c r="E123" s="287"/>
      <c r="F123" s="288"/>
      <c r="G123" s="289"/>
      <c r="H123" s="66"/>
      <c r="I123" s="55"/>
      <c r="J123" s="189"/>
      <c r="K123" s="54"/>
      <c r="L123" s="54"/>
      <c r="M123" s="54"/>
      <c r="N123" s="54"/>
      <c r="O123" s="54"/>
      <c r="P123" s="54"/>
      <c r="Q123" s="54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</row>
    <row r="124" spans="4:48" x14ac:dyDescent="0.2">
      <c r="D124" s="65"/>
      <c r="E124" s="287"/>
      <c r="F124" s="288"/>
      <c r="G124" s="289"/>
      <c r="H124" s="66"/>
      <c r="I124" s="55"/>
      <c r="J124" s="189"/>
      <c r="K124" s="54"/>
      <c r="L124" s="54"/>
      <c r="M124" s="54"/>
      <c r="N124" s="54"/>
      <c r="O124" s="54"/>
      <c r="P124" s="54"/>
      <c r="Q124" s="54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</row>
    <row r="125" spans="4:48" x14ac:dyDescent="0.2">
      <c r="D125" s="65"/>
      <c r="E125" s="287"/>
      <c r="F125" s="288"/>
      <c r="G125" s="289"/>
      <c r="H125" s="66"/>
      <c r="I125" s="55"/>
      <c r="J125" s="189"/>
      <c r="K125" s="54"/>
      <c r="L125" s="54"/>
      <c r="M125" s="54"/>
      <c r="N125" s="54"/>
      <c r="O125" s="54"/>
      <c r="P125" s="54"/>
      <c r="Q125" s="54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</row>
    <row r="126" spans="4:48" x14ac:dyDescent="0.2">
      <c r="D126" s="65"/>
      <c r="E126" s="287"/>
      <c r="F126" s="288"/>
      <c r="G126" s="289"/>
      <c r="H126" s="66"/>
      <c r="I126" s="55"/>
      <c r="J126" s="41"/>
      <c r="K126" s="54"/>
      <c r="L126" s="54"/>
      <c r="M126" s="54"/>
      <c r="N126" s="54"/>
      <c r="O126" s="54"/>
      <c r="P126" s="54"/>
      <c r="Q126" s="54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</row>
    <row r="127" spans="4:48" x14ac:dyDescent="0.2">
      <c r="D127" s="65"/>
      <c r="E127" s="287"/>
      <c r="F127" s="288"/>
      <c r="G127" s="289"/>
      <c r="H127" s="66"/>
      <c r="I127" s="55"/>
      <c r="J127" s="41"/>
      <c r="K127" s="54"/>
      <c r="L127" s="54"/>
      <c r="M127" s="54"/>
      <c r="N127" s="54"/>
      <c r="O127" s="54"/>
      <c r="P127" s="54"/>
      <c r="Q127" s="54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</row>
    <row r="128" spans="4:48" x14ac:dyDescent="0.2">
      <c r="D128" s="65"/>
      <c r="E128" s="287"/>
      <c r="F128" s="288"/>
      <c r="G128" s="289"/>
      <c r="H128" s="66"/>
      <c r="I128" s="55"/>
      <c r="J128" s="41"/>
      <c r="K128" s="54"/>
      <c r="L128" s="54"/>
      <c r="M128" s="54"/>
      <c r="N128" s="54"/>
      <c r="O128" s="54"/>
      <c r="P128" s="54"/>
      <c r="Q128" s="54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</row>
    <row r="129" spans="4:17" x14ac:dyDescent="0.2">
      <c r="D129" s="65"/>
      <c r="E129" s="287"/>
      <c r="F129" s="288"/>
      <c r="G129" s="289"/>
      <c r="H129" s="66"/>
      <c r="I129" s="190"/>
      <c r="K129" s="79"/>
      <c r="L129" s="79"/>
      <c r="M129" s="79"/>
      <c r="N129" s="79"/>
      <c r="O129" s="79"/>
      <c r="P129" s="79"/>
      <c r="Q129" s="79"/>
    </row>
    <row r="130" spans="4:17" x14ac:dyDescent="0.2">
      <c r="D130" s="65"/>
      <c r="E130" s="287"/>
      <c r="F130" s="288"/>
      <c r="G130" s="289"/>
      <c r="H130" s="66"/>
      <c r="I130" s="190"/>
      <c r="K130" s="79"/>
      <c r="L130" s="79"/>
      <c r="M130" s="79"/>
      <c r="N130" s="79"/>
      <c r="O130" s="79"/>
      <c r="P130" s="79"/>
      <c r="Q130" s="79"/>
    </row>
    <row r="131" spans="4:17" x14ac:dyDescent="0.2">
      <c r="D131" s="65"/>
      <c r="E131" s="287"/>
      <c r="F131" s="288"/>
      <c r="G131" s="289"/>
      <c r="H131" s="66"/>
      <c r="I131" s="190"/>
      <c r="K131" s="79"/>
      <c r="L131" s="79"/>
      <c r="M131" s="79"/>
      <c r="N131" s="79"/>
      <c r="O131" s="79"/>
      <c r="P131" s="79"/>
      <c r="Q131" s="79"/>
    </row>
    <row r="132" spans="4:17" x14ac:dyDescent="0.2">
      <c r="D132" s="65"/>
      <c r="E132" s="287"/>
      <c r="F132" s="288"/>
      <c r="G132" s="289"/>
      <c r="H132" s="66"/>
      <c r="I132" s="190"/>
      <c r="K132" s="79"/>
      <c r="L132" s="79"/>
      <c r="M132" s="79"/>
      <c r="N132" s="79"/>
      <c r="O132" s="79"/>
      <c r="P132" s="79"/>
      <c r="Q132" s="79"/>
    </row>
    <row r="133" spans="4:17" x14ac:dyDescent="0.2">
      <c r="D133" s="65"/>
      <c r="E133" s="287"/>
      <c r="F133" s="288"/>
      <c r="G133" s="289"/>
      <c r="H133" s="66"/>
      <c r="I133" s="190"/>
      <c r="K133" s="79"/>
      <c r="L133" s="79"/>
      <c r="M133" s="79"/>
      <c r="N133" s="79"/>
      <c r="O133" s="79"/>
      <c r="P133" s="79"/>
      <c r="Q133" s="79"/>
    </row>
    <row r="134" spans="4:17" x14ac:dyDescent="0.2">
      <c r="D134" s="65"/>
      <c r="E134" s="287"/>
      <c r="F134" s="288"/>
      <c r="G134" s="289"/>
      <c r="H134" s="66"/>
      <c r="I134" s="190"/>
      <c r="K134" s="79"/>
      <c r="L134" s="79"/>
      <c r="M134" s="79"/>
      <c r="N134" s="79"/>
      <c r="O134" s="79"/>
      <c r="P134" s="79"/>
      <c r="Q134" s="79"/>
    </row>
    <row r="135" spans="4:17" x14ac:dyDescent="0.2">
      <c r="D135" s="65"/>
      <c r="E135" s="287"/>
      <c r="F135" s="288"/>
      <c r="G135" s="289"/>
      <c r="H135" s="66"/>
      <c r="I135" s="190"/>
      <c r="K135" s="79"/>
      <c r="L135" s="79"/>
      <c r="M135" s="79"/>
      <c r="N135" s="79"/>
      <c r="O135" s="79"/>
      <c r="P135" s="79"/>
      <c r="Q135" s="79"/>
    </row>
    <row r="136" spans="4:17" x14ac:dyDescent="0.2">
      <c r="D136" s="65"/>
      <c r="E136" s="287"/>
      <c r="F136" s="288"/>
      <c r="G136" s="289"/>
      <c r="H136" s="66"/>
      <c r="I136" s="190"/>
      <c r="K136" s="79"/>
      <c r="L136" s="79"/>
      <c r="M136" s="79"/>
      <c r="N136" s="79"/>
      <c r="O136" s="79"/>
      <c r="P136" s="79"/>
      <c r="Q136" s="79"/>
    </row>
    <row r="137" spans="4:17" x14ac:dyDescent="0.2">
      <c r="D137" s="65"/>
      <c r="E137" s="287"/>
      <c r="F137" s="288"/>
      <c r="G137" s="289"/>
      <c r="H137" s="66"/>
      <c r="I137" s="190"/>
      <c r="K137" s="79"/>
      <c r="L137" s="79"/>
      <c r="M137" s="79"/>
      <c r="N137" s="79"/>
      <c r="O137" s="79"/>
      <c r="P137" s="79"/>
      <c r="Q137" s="79"/>
    </row>
    <row r="138" spans="4:17" x14ac:dyDescent="0.2">
      <c r="D138" s="65"/>
      <c r="E138" s="287"/>
      <c r="F138" s="288"/>
      <c r="G138" s="289"/>
      <c r="H138" s="66"/>
      <c r="I138" s="190"/>
      <c r="K138" s="79"/>
      <c r="L138" s="79"/>
      <c r="M138" s="79"/>
      <c r="N138" s="79"/>
      <c r="O138" s="79"/>
      <c r="P138" s="79"/>
      <c r="Q138" s="79"/>
    </row>
    <row r="139" spans="4:17" x14ac:dyDescent="0.2">
      <c r="D139" s="65"/>
      <c r="E139" s="287"/>
      <c r="F139" s="288"/>
      <c r="G139" s="289"/>
      <c r="H139" s="66"/>
      <c r="I139" s="190"/>
      <c r="K139" s="79"/>
      <c r="L139" s="79"/>
      <c r="M139" s="79"/>
      <c r="N139" s="79"/>
      <c r="O139" s="79"/>
      <c r="P139" s="79"/>
      <c r="Q139" s="79"/>
    </row>
    <row r="140" spans="4:17" x14ac:dyDescent="0.2">
      <c r="D140" s="65"/>
      <c r="E140" s="287"/>
      <c r="F140" s="288"/>
      <c r="G140" s="289"/>
      <c r="H140" s="66"/>
      <c r="I140" s="190"/>
      <c r="K140" s="79"/>
      <c r="L140" s="79"/>
      <c r="M140" s="79"/>
      <c r="N140" s="79"/>
      <c r="O140" s="79"/>
      <c r="P140" s="79"/>
      <c r="Q140" s="79"/>
    </row>
    <row r="141" spans="4:17" x14ac:dyDescent="0.2">
      <c r="D141" s="65"/>
      <c r="E141" s="287"/>
      <c r="F141" s="288"/>
      <c r="G141" s="289"/>
      <c r="H141" s="66"/>
      <c r="I141" s="190"/>
      <c r="K141" s="79"/>
      <c r="L141" s="79"/>
      <c r="M141" s="79"/>
      <c r="N141" s="79"/>
      <c r="O141" s="79"/>
      <c r="P141" s="79"/>
      <c r="Q141" s="79"/>
    </row>
    <row r="142" spans="4:17" x14ac:dyDescent="0.2">
      <c r="D142" s="65"/>
      <c r="E142" s="287"/>
      <c r="F142" s="288"/>
      <c r="G142" s="289"/>
      <c r="H142" s="66"/>
      <c r="I142" s="190"/>
      <c r="K142" s="79"/>
      <c r="L142" s="79"/>
      <c r="M142" s="79"/>
      <c r="N142" s="79"/>
      <c r="O142" s="79"/>
      <c r="P142" s="79"/>
      <c r="Q142" s="79"/>
    </row>
    <row r="143" spans="4:17" x14ac:dyDescent="0.2">
      <c r="D143" s="65"/>
      <c r="E143" s="287"/>
      <c r="F143" s="288"/>
      <c r="G143" s="289"/>
      <c r="H143" s="66"/>
      <c r="I143" s="190"/>
      <c r="K143" s="79"/>
      <c r="L143" s="79"/>
      <c r="M143" s="79"/>
      <c r="N143" s="79"/>
      <c r="O143" s="79"/>
      <c r="P143" s="79"/>
      <c r="Q143" s="79"/>
    </row>
    <row r="144" spans="4:17" x14ac:dyDescent="0.2">
      <c r="D144" s="65"/>
      <c r="E144" s="287"/>
      <c r="F144" s="288"/>
      <c r="G144" s="289"/>
      <c r="H144" s="66"/>
      <c r="I144" s="190"/>
      <c r="K144" s="79"/>
      <c r="L144" s="79"/>
      <c r="M144" s="79"/>
      <c r="N144" s="79"/>
      <c r="O144" s="79"/>
      <c r="P144" s="79"/>
      <c r="Q144" s="79"/>
    </row>
    <row r="145" spans="4:17" x14ac:dyDescent="0.2">
      <c r="D145" s="65"/>
      <c r="E145" s="287"/>
      <c r="F145" s="288"/>
      <c r="G145" s="289"/>
      <c r="H145" s="66"/>
      <c r="I145" s="190"/>
      <c r="K145" s="79"/>
      <c r="L145" s="79"/>
      <c r="M145" s="79"/>
      <c r="N145" s="79"/>
      <c r="O145" s="79"/>
      <c r="P145" s="79"/>
      <c r="Q145" s="79"/>
    </row>
    <row r="146" spans="4:17" x14ac:dyDescent="0.2">
      <c r="D146" s="65"/>
      <c r="E146" s="287"/>
      <c r="F146" s="288"/>
      <c r="G146" s="289"/>
      <c r="H146" s="66"/>
      <c r="I146" s="190"/>
      <c r="K146" s="79"/>
      <c r="L146" s="79"/>
      <c r="M146" s="79"/>
      <c r="N146" s="79"/>
      <c r="O146" s="79"/>
      <c r="P146" s="79"/>
      <c r="Q146" s="79"/>
    </row>
    <row r="147" spans="4:17" x14ac:dyDescent="0.2">
      <c r="D147" s="65"/>
      <c r="E147" s="287"/>
      <c r="F147" s="288"/>
      <c r="G147" s="289"/>
      <c r="H147" s="66"/>
      <c r="I147" s="190"/>
      <c r="K147" s="79"/>
      <c r="L147" s="79"/>
      <c r="M147" s="79"/>
      <c r="N147" s="79"/>
      <c r="O147" s="79"/>
      <c r="P147" s="79"/>
      <c r="Q147" s="79"/>
    </row>
    <row r="148" spans="4:17" x14ac:dyDescent="0.2">
      <c r="D148" s="65"/>
      <c r="E148" s="287"/>
      <c r="F148" s="288"/>
      <c r="G148" s="289"/>
      <c r="H148" s="66"/>
      <c r="I148" s="190"/>
      <c r="K148" s="79"/>
      <c r="L148" s="79"/>
      <c r="M148" s="79"/>
      <c r="N148" s="79"/>
      <c r="O148" s="79"/>
      <c r="P148" s="79"/>
      <c r="Q148" s="79"/>
    </row>
    <row r="149" spans="4:17" x14ac:dyDescent="0.2">
      <c r="D149" s="65"/>
      <c r="E149" s="287"/>
      <c r="F149" s="288"/>
      <c r="G149" s="289"/>
      <c r="H149" s="66"/>
      <c r="I149" s="190"/>
      <c r="K149" s="79"/>
      <c r="L149" s="79"/>
      <c r="M149" s="79"/>
      <c r="N149" s="79"/>
      <c r="O149" s="79"/>
      <c r="P149" s="79"/>
      <c r="Q149" s="79"/>
    </row>
    <row r="150" spans="4:17" x14ac:dyDescent="0.2">
      <c r="D150" s="65"/>
      <c r="E150" s="287"/>
      <c r="F150" s="288"/>
      <c r="G150" s="289"/>
      <c r="H150" s="66"/>
      <c r="I150" s="190"/>
    </row>
    <row r="151" spans="4:17" x14ac:dyDescent="0.2">
      <c r="E151" s="287"/>
      <c r="F151" s="290"/>
      <c r="G151" s="290"/>
      <c r="I151" s="190"/>
    </row>
    <row r="152" spans="4:17" x14ac:dyDescent="0.2">
      <c r="E152" s="287"/>
      <c r="F152" s="290"/>
      <c r="G152" s="290"/>
      <c r="I152" s="190"/>
    </row>
    <row r="153" spans="4:17" x14ac:dyDescent="0.2">
      <c r="E153" s="287"/>
      <c r="F153" s="290"/>
      <c r="G153" s="290"/>
      <c r="I153" s="190"/>
    </row>
    <row r="154" spans="4:17" x14ac:dyDescent="0.2">
      <c r="E154" s="287"/>
      <c r="F154" s="290"/>
      <c r="G154" s="290"/>
    </row>
    <row r="155" spans="4:17" x14ac:dyDescent="0.2">
      <c r="E155" s="287"/>
      <c r="F155" s="290"/>
      <c r="G155" s="290"/>
    </row>
    <row r="156" spans="4:17" x14ac:dyDescent="0.2">
      <c r="E156" s="287"/>
      <c r="F156" s="290"/>
      <c r="G156" s="290"/>
    </row>
    <row r="157" spans="4:17" x14ac:dyDescent="0.2">
      <c r="E157" s="287"/>
      <c r="F157" s="290"/>
      <c r="G157" s="290"/>
    </row>
    <row r="158" spans="4:17" x14ac:dyDescent="0.2">
      <c r="E158" s="287"/>
      <c r="F158" s="290"/>
      <c r="G158" s="290"/>
    </row>
    <row r="159" spans="4:17" x14ac:dyDescent="0.2">
      <c r="E159" s="287"/>
      <c r="F159" s="290"/>
      <c r="G159" s="290"/>
    </row>
    <row r="160" spans="4:17" x14ac:dyDescent="0.2">
      <c r="E160" s="287"/>
      <c r="F160" s="290"/>
      <c r="G160" s="290"/>
    </row>
    <row r="161" spans="5:7" x14ac:dyDescent="0.2">
      <c r="E161" s="287"/>
      <c r="F161" s="290"/>
      <c r="G161" s="290"/>
    </row>
    <row r="162" spans="5:7" x14ac:dyDescent="0.2">
      <c r="E162" s="287"/>
      <c r="F162" s="290"/>
      <c r="G162" s="290"/>
    </row>
    <row r="163" spans="5:7" x14ac:dyDescent="0.2">
      <c r="E163" s="287"/>
      <c r="F163" s="290"/>
      <c r="G163" s="290"/>
    </row>
  </sheetData>
  <mergeCells count="11">
    <mergeCell ref="J32:K32"/>
    <mergeCell ref="J33:K33"/>
    <mergeCell ref="J31:K31"/>
    <mergeCell ref="J37:J38"/>
    <mergeCell ref="U23:X23"/>
    <mergeCell ref="J27:K27"/>
    <mergeCell ref="J28:K28"/>
    <mergeCell ref="J30:K30"/>
    <mergeCell ref="J25:K25"/>
    <mergeCell ref="J26:K26"/>
    <mergeCell ref="J29:K29"/>
  </mergeCells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6"/>
  <dimension ref="A5:Y49"/>
  <sheetViews>
    <sheetView workbookViewId="0">
      <selection activeCell="G46" sqref="G46"/>
    </sheetView>
  </sheetViews>
  <sheetFormatPr baseColWidth="10" defaultColWidth="11.42578125" defaultRowHeight="12.75" x14ac:dyDescent="0.2"/>
  <cols>
    <col min="1" max="1" width="12.42578125" style="196" customWidth="1"/>
    <col min="2" max="4" width="11.42578125" style="196" customWidth="1"/>
    <col min="5" max="5" width="11.42578125" style="196" hidden="1" customWidth="1"/>
    <col min="6" max="6" width="12.28515625" style="196" hidden="1" customWidth="1"/>
    <col min="7" max="7" width="11.42578125" style="196" customWidth="1"/>
    <col min="8" max="8" width="13.85546875" style="196" customWidth="1"/>
    <col min="9" max="9" width="12.28515625" style="196" customWidth="1"/>
    <col min="10" max="10" width="14.7109375" style="196" customWidth="1"/>
    <col min="11" max="11" width="16.7109375" style="196" customWidth="1"/>
    <col min="12" max="12" width="13" style="196" customWidth="1"/>
    <col min="13" max="13" width="15" style="196" customWidth="1"/>
    <col min="14" max="16384" width="11.42578125" style="196"/>
  </cols>
  <sheetData>
    <row r="5" spans="1:25" x14ac:dyDescent="0.2">
      <c r="T5" s="196" t="s">
        <v>404</v>
      </c>
      <c r="V5" s="557" t="s">
        <v>418</v>
      </c>
      <c r="W5" s="558"/>
      <c r="X5" s="559"/>
    </row>
    <row r="6" spans="1:25" x14ac:dyDescent="0.2">
      <c r="C6" s="272" t="s">
        <v>407</v>
      </c>
      <c r="D6" s="273">
        <v>1.2869999999999999</v>
      </c>
      <c r="H6" s="226" t="s">
        <v>122</v>
      </c>
      <c r="T6" s="195" t="s">
        <v>405</v>
      </c>
      <c r="V6" s="227" t="s">
        <v>427</v>
      </c>
      <c r="W6" s="228" t="s">
        <v>79</v>
      </c>
      <c r="Y6" s="229" t="s">
        <v>428</v>
      </c>
    </row>
    <row r="7" spans="1:25" ht="13.5" thickBot="1" x14ac:dyDescent="0.25">
      <c r="C7" s="274" t="s">
        <v>83</v>
      </c>
      <c r="D7" s="275" t="e">
        <f>#REF!</f>
        <v>#REF!</v>
      </c>
      <c r="T7" s="195" t="s">
        <v>406</v>
      </c>
      <c r="V7" s="230"/>
      <c r="Y7" s="231"/>
    </row>
    <row r="8" spans="1:25" ht="14.25" thickTop="1" thickBot="1" x14ac:dyDescent="0.25">
      <c r="C8" s="276" t="s">
        <v>84</v>
      </c>
      <c r="D8" s="277" t="e">
        <f>#REF!</f>
        <v>#REF!</v>
      </c>
      <c r="K8" s="560" t="s">
        <v>412</v>
      </c>
      <c r="L8" s="561"/>
      <c r="V8" s="232">
        <v>7</v>
      </c>
      <c r="W8" s="195">
        <v>164.96</v>
      </c>
      <c r="Y8" s="233">
        <v>2.4424000000000001</v>
      </c>
    </row>
    <row r="9" spans="1:25" ht="14.25" thickTop="1" thickBot="1" x14ac:dyDescent="0.25">
      <c r="K9" s="200"/>
      <c r="L9" s="82"/>
      <c r="V9" s="232">
        <v>7.5</v>
      </c>
      <c r="W9" s="195">
        <v>167.76</v>
      </c>
      <c r="Y9" s="233">
        <v>2.4689999999999999</v>
      </c>
    </row>
    <row r="10" spans="1:25" ht="14.25" thickTop="1" thickBot="1" x14ac:dyDescent="0.25">
      <c r="C10" s="563" t="s">
        <v>439</v>
      </c>
      <c r="D10" s="564"/>
      <c r="F10" s="565"/>
      <c r="G10" s="565"/>
      <c r="K10" s="201" t="s">
        <v>400</v>
      </c>
      <c r="L10" s="202">
        <f>IF(O24="NO",L27,L27+O25)</f>
        <v>27461</v>
      </c>
      <c r="V10" s="232">
        <v>8</v>
      </c>
      <c r="W10" s="195">
        <v>170.42</v>
      </c>
      <c r="Y10" s="233">
        <v>2.4950999999999999</v>
      </c>
    </row>
    <row r="11" spans="1:25" ht="13.5" thickTop="1" x14ac:dyDescent="0.2">
      <c r="C11" s="201" t="s">
        <v>411</v>
      </c>
      <c r="D11" s="82" t="s">
        <v>406</v>
      </c>
      <c r="F11" s="270"/>
      <c r="K11" s="201" t="s">
        <v>401</v>
      </c>
      <c r="L11" s="202">
        <f>IF(O24="YES",300,L28)</f>
        <v>165</v>
      </c>
      <c r="V11" s="232">
        <v>8.5</v>
      </c>
      <c r="W11" s="195">
        <v>172.94</v>
      </c>
      <c r="Y11" s="233">
        <v>2.5206</v>
      </c>
    </row>
    <row r="12" spans="1:25" x14ac:dyDescent="0.2">
      <c r="C12" s="201" t="s">
        <v>400</v>
      </c>
      <c r="D12" s="202">
        <f>IF(D11="NO",0,IF(B22&lt;=H28,0,(((B21/3600)*B15)*(B16*(B22^2-H28^2)+B17*(B22-H28))/(D7*(H28^2-D13^2)+D8*(H28-D13)))*(3600/D6)))</f>
        <v>0</v>
      </c>
      <c r="F12" s="270"/>
      <c r="G12" s="271"/>
      <c r="K12" s="201" t="s">
        <v>402</v>
      </c>
      <c r="L12" s="202">
        <f>(L10*(L11+273))/273</f>
        <v>44058.307692307695</v>
      </c>
      <c r="V12" s="232">
        <v>9</v>
      </c>
      <c r="W12" s="195">
        <v>175.36</v>
      </c>
      <c r="Y12" s="233">
        <v>2.5455999999999999</v>
      </c>
    </row>
    <row r="13" spans="1:25" x14ac:dyDescent="0.2">
      <c r="C13" s="201" t="s">
        <v>401</v>
      </c>
      <c r="D13" s="213">
        <v>20</v>
      </c>
      <c r="F13" s="270"/>
      <c r="G13" s="271"/>
      <c r="K13" s="201" t="s">
        <v>413</v>
      </c>
      <c r="L13" s="215">
        <v>400</v>
      </c>
      <c r="V13" s="232">
        <v>9.5</v>
      </c>
      <c r="W13" s="195">
        <v>177.67</v>
      </c>
      <c r="Y13" s="233">
        <v>2.5701999999999998</v>
      </c>
    </row>
    <row r="14" spans="1:25" x14ac:dyDescent="0.2">
      <c r="C14" s="234"/>
      <c r="D14" s="235"/>
      <c r="F14" s="270"/>
      <c r="G14" s="195"/>
      <c r="K14" s="201" t="s">
        <v>414</v>
      </c>
      <c r="L14" s="202">
        <f>(L12*L13)/(3600*102*0.7)</f>
        <v>68.562570327276234</v>
      </c>
      <c r="V14" s="232">
        <v>10</v>
      </c>
      <c r="W14" s="195">
        <v>179.88</v>
      </c>
      <c r="Y14" s="233">
        <v>2.5943999999999998</v>
      </c>
    </row>
    <row r="15" spans="1:25" x14ac:dyDescent="0.2">
      <c r="A15" s="278" t="s">
        <v>407</v>
      </c>
      <c r="B15" s="273" t="e">
        <f>#REF!</f>
        <v>#REF!</v>
      </c>
      <c r="C15" s="279"/>
      <c r="F15" s="270"/>
      <c r="G15" s="271"/>
      <c r="K15" s="201" t="s">
        <v>416</v>
      </c>
      <c r="L15" s="205" t="s">
        <v>417</v>
      </c>
      <c r="V15" s="232">
        <v>11</v>
      </c>
      <c r="W15" s="195">
        <v>184.06</v>
      </c>
      <c r="Y15" s="233">
        <v>2.6417999999999999</v>
      </c>
    </row>
    <row r="16" spans="1:25" x14ac:dyDescent="0.2">
      <c r="A16" s="280" t="s">
        <v>83</v>
      </c>
      <c r="B16" s="281" t="e">
        <f>#REF!</f>
        <v>#REF!</v>
      </c>
      <c r="C16" s="279"/>
      <c r="F16" s="270"/>
      <c r="G16" s="271"/>
      <c r="K16" s="203" t="s">
        <v>415</v>
      </c>
      <c r="L16" s="204">
        <f>2*SQRT(L12/(13.5*3600*3.14))*1000</f>
        <v>1074.6349052632584</v>
      </c>
      <c r="V16" s="232">
        <v>12</v>
      </c>
      <c r="W16" s="195">
        <v>187.96</v>
      </c>
      <c r="X16" s="195"/>
      <c r="Y16" s="233">
        <v>2.6878000000000002</v>
      </c>
    </row>
    <row r="17" spans="1:25" x14ac:dyDescent="0.2">
      <c r="A17" s="282" t="s">
        <v>84</v>
      </c>
      <c r="B17" s="283" t="e">
        <f>#REF!</f>
        <v>#REF!</v>
      </c>
      <c r="C17" s="279"/>
      <c r="V17" s="232">
        <v>13</v>
      </c>
      <c r="W17" s="195">
        <v>191.6</v>
      </c>
      <c r="Y17" s="233">
        <v>2.7326999999999999</v>
      </c>
    </row>
    <row r="18" spans="1:25" ht="13.5" thickBot="1" x14ac:dyDescent="0.25">
      <c r="V18" s="232">
        <v>14</v>
      </c>
      <c r="W18" s="195">
        <v>195.04</v>
      </c>
      <c r="Y18" s="233">
        <v>2.7766999999999999</v>
      </c>
    </row>
    <row r="19" spans="1:25" ht="14.25" thickTop="1" thickBot="1" x14ac:dyDescent="0.25">
      <c r="A19" s="560" t="s">
        <v>399</v>
      </c>
      <c r="B19" s="561"/>
      <c r="I19" s="560" t="s">
        <v>408</v>
      </c>
      <c r="J19" s="561"/>
      <c r="V19" s="232">
        <v>15</v>
      </c>
      <c r="W19" s="195">
        <v>198.28</v>
      </c>
      <c r="Y19" s="233">
        <v>2.8197000000000001</v>
      </c>
    </row>
    <row r="20" spans="1:25" ht="13.5" thickTop="1" x14ac:dyDescent="0.2">
      <c r="A20" s="200"/>
      <c r="B20" s="82"/>
      <c r="I20" s="206" t="s">
        <v>403</v>
      </c>
      <c r="J20" s="207" t="s">
        <v>406</v>
      </c>
      <c r="V20" s="232">
        <v>16</v>
      </c>
      <c r="W20" s="195">
        <v>201.37</v>
      </c>
      <c r="Y20" s="233">
        <v>2.8620000000000001</v>
      </c>
    </row>
    <row r="21" spans="1:25" x14ac:dyDescent="0.2">
      <c r="A21" s="201" t="s">
        <v>400</v>
      </c>
      <c r="B21" s="202">
        <v>27461</v>
      </c>
      <c r="I21" s="208" t="s">
        <v>410</v>
      </c>
      <c r="J21" s="209" t="e">
        <f>IF(J20="NO",0,((H27/3600)*B15)*(B16*(H28^2-L28^2)+B17*(H28-L28)))</f>
        <v>#REF!</v>
      </c>
      <c r="V21" s="232">
        <v>17</v>
      </c>
      <c r="W21" s="195">
        <v>204.3</v>
      </c>
      <c r="Y21" s="233">
        <v>2.9036</v>
      </c>
    </row>
    <row r="22" spans="1:25" ht="13.5" thickBot="1" x14ac:dyDescent="0.25">
      <c r="A22" s="201" t="s">
        <v>401</v>
      </c>
      <c r="B22" s="202">
        <v>551</v>
      </c>
      <c r="I22" s="208"/>
      <c r="J22" s="207"/>
      <c r="V22" s="232">
        <v>18</v>
      </c>
      <c r="W22" s="195">
        <v>207.11</v>
      </c>
      <c r="Y22" s="233">
        <v>2.9445000000000001</v>
      </c>
    </row>
    <row r="23" spans="1:25" ht="14.25" thickTop="1" thickBot="1" x14ac:dyDescent="0.25">
      <c r="A23" s="203" t="s">
        <v>402</v>
      </c>
      <c r="B23" s="204">
        <f>(B21*(B22+273))/273</f>
        <v>82885.948717948719</v>
      </c>
      <c r="I23" s="210"/>
      <c r="J23" s="211"/>
      <c r="N23" s="563" t="s">
        <v>440</v>
      </c>
      <c r="O23" s="564"/>
      <c r="V23" s="232">
        <v>19</v>
      </c>
      <c r="W23" s="195">
        <v>209.79</v>
      </c>
      <c r="Y23" s="233">
        <v>2.9847999999999999</v>
      </c>
    </row>
    <row r="24" spans="1:25" ht="14.25" thickTop="1" thickBot="1" x14ac:dyDescent="0.25">
      <c r="N24" s="201" t="s">
        <v>411</v>
      </c>
      <c r="O24" s="82" t="s">
        <v>405</v>
      </c>
      <c r="V24" s="236">
        <v>20</v>
      </c>
      <c r="W24" s="237">
        <v>212.37</v>
      </c>
      <c r="Y24" s="238">
        <v>3.0247999999999999</v>
      </c>
    </row>
    <row r="25" spans="1:25" ht="14.25" thickTop="1" thickBot="1" x14ac:dyDescent="0.25">
      <c r="D25" s="562"/>
      <c r="E25" s="562"/>
      <c r="G25" s="563" t="s">
        <v>438</v>
      </c>
      <c r="H25" s="564"/>
      <c r="K25" s="563" t="s">
        <v>409</v>
      </c>
      <c r="L25" s="564"/>
      <c r="N25" s="201" t="s">
        <v>400</v>
      </c>
      <c r="O25" s="202">
        <f>IF(O24="NO",0,(((L27/3600)*B15)*(B16*(L28^2-L11^2)+B17*(L28-L11))/(D7*(L11^2-O26^2)+D8*(L11-O26)))*(3600/D6))</f>
        <v>0</v>
      </c>
    </row>
    <row r="26" spans="1:25" ht="20.25" customHeight="1" thickTop="1" x14ac:dyDescent="0.2">
      <c r="G26" s="200"/>
      <c r="H26" s="82"/>
      <c r="K26" s="200"/>
      <c r="L26" s="82"/>
      <c r="N26" s="203" t="s">
        <v>401</v>
      </c>
      <c r="O26" s="214">
        <v>20</v>
      </c>
    </row>
    <row r="27" spans="1:25" x14ac:dyDescent="0.2">
      <c r="D27" s="270"/>
      <c r="E27" s="271"/>
      <c r="G27" s="201" t="s">
        <v>400</v>
      </c>
      <c r="H27" s="202">
        <f>B21+D12</f>
        <v>27461</v>
      </c>
      <c r="K27" s="201" t="s">
        <v>400</v>
      </c>
      <c r="L27" s="202">
        <f>H27</f>
        <v>27461</v>
      </c>
    </row>
    <row r="28" spans="1:25" x14ac:dyDescent="0.2">
      <c r="D28" s="270"/>
      <c r="E28" s="271"/>
      <c r="G28" s="201" t="s">
        <v>401</v>
      </c>
      <c r="H28" s="213">
        <v>551</v>
      </c>
      <c r="K28" s="201" t="s">
        <v>401</v>
      </c>
      <c r="L28" s="202">
        <f>IF(J20="NO",H28,165)</f>
        <v>165</v>
      </c>
    </row>
    <row r="29" spans="1:25" x14ac:dyDescent="0.2">
      <c r="D29" s="270"/>
      <c r="E29" s="271"/>
      <c r="G29" s="203" t="s">
        <v>402</v>
      </c>
      <c r="H29" s="204">
        <f>(H27*(H28+273))/273</f>
        <v>82885.948717948719</v>
      </c>
      <c r="K29" s="203" t="s">
        <v>402</v>
      </c>
      <c r="L29" s="204">
        <f>(L27*(L28+273))/273</f>
        <v>44058.307692307695</v>
      </c>
    </row>
    <row r="31" spans="1:25" x14ac:dyDescent="0.2">
      <c r="I31" s="239">
        <f>((K46*K47)+(N41*N42))/(K46+N41)</f>
        <v>100.77272727272744</v>
      </c>
      <c r="J31" s="240" t="s">
        <v>75</v>
      </c>
    </row>
    <row r="32" spans="1:25" x14ac:dyDescent="0.2">
      <c r="I32" s="241">
        <f>K46+N41</f>
        <v>110</v>
      </c>
      <c r="J32" s="240" t="s">
        <v>398</v>
      </c>
      <c r="L32" s="566" t="s">
        <v>418</v>
      </c>
      <c r="M32" s="567"/>
    </row>
    <row r="33" spans="10:25" x14ac:dyDescent="0.2">
      <c r="J33" s="286">
        <v>134.07272727272556</v>
      </c>
      <c r="K33" s="240" t="s">
        <v>75</v>
      </c>
      <c r="L33" s="218" t="s">
        <v>426</v>
      </c>
      <c r="M33" s="217">
        <v>10</v>
      </c>
    </row>
    <row r="34" spans="10:25" x14ac:dyDescent="0.2">
      <c r="L34" s="201" t="s">
        <v>442</v>
      </c>
      <c r="M34" s="215">
        <v>300</v>
      </c>
    </row>
    <row r="35" spans="10:25" x14ac:dyDescent="0.2">
      <c r="L35" s="201" t="s">
        <v>443</v>
      </c>
      <c r="M35" s="202">
        <f>VLOOKUP(M33,V8:Y24,2)</f>
        <v>179.88</v>
      </c>
    </row>
    <row r="36" spans="10:25" x14ac:dyDescent="0.2">
      <c r="L36" s="201" t="s">
        <v>410</v>
      </c>
      <c r="M36" s="202">
        <f>(((Q40/3)*(L39^3-J33^3)+(Q41/2)*(L39^2-J33^2)+Q42*(L39-J33))*(I32/3.6))/1000</f>
        <v>775.88485836399445</v>
      </c>
    </row>
    <row r="37" spans="10:25" x14ac:dyDescent="0.2">
      <c r="L37" s="203" t="s">
        <v>422</v>
      </c>
      <c r="M37" s="285">
        <f>(M36/(VLOOKUP(M33,V8:Y24,4)*(M34-VLOOKUP(M33,V8:Y24,2))))*3600</f>
        <v>8962.8786842666414</v>
      </c>
    </row>
    <row r="38" spans="10:25" x14ac:dyDescent="0.2">
      <c r="M38" s="240"/>
      <c r="W38" s="242" t="s">
        <v>141</v>
      </c>
      <c r="X38" s="242"/>
      <c r="Y38" s="242"/>
    </row>
    <row r="39" spans="10:25" x14ac:dyDescent="0.2">
      <c r="J39" s="243"/>
      <c r="K39" s="243"/>
      <c r="L39" s="178">
        <v>140</v>
      </c>
      <c r="M39" s="568" t="s">
        <v>75</v>
      </c>
      <c r="N39" s="568"/>
      <c r="W39" s="242" t="s">
        <v>77</v>
      </c>
      <c r="X39" s="242" t="s">
        <v>79</v>
      </c>
      <c r="Y39" s="242" t="s">
        <v>142</v>
      </c>
    </row>
    <row r="40" spans="10:25" x14ac:dyDescent="0.2">
      <c r="J40" s="566" t="s">
        <v>420</v>
      </c>
      <c r="K40" s="567"/>
      <c r="L40" s="230"/>
      <c r="M40" s="566" t="s">
        <v>419</v>
      </c>
      <c r="N40" s="567"/>
      <c r="P40" s="244" t="s">
        <v>83</v>
      </c>
      <c r="Q40" s="245">
        <v>1.4692E-2</v>
      </c>
      <c r="W40" s="242">
        <v>273</v>
      </c>
      <c r="X40" s="242">
        <f t="shared" ref="X40:X48" si="0">W40-273</f>
        <v>0</v>
      </c>
      <c r="Y40" s="242">
        <v>4218</v>
      </c>
    </row>
    <row r="41" spans="10:25" x14ac:dyDescent="0.2">
      <c r="J41" s="218" t="s">
        <v>423</v>
      </c>
      <c r="K41" s="217">
        <v>50000</v>
      </c>
      <c r="L41" s="230"/>
      <c r="M41" s="218" t="s">
        <v>421</v>
      </c>
      <c r="N41" s="217">
        <v>100</v>
      </c>
      <c r="P41" s="246" t="s">
        <v>84</v>
      </c>
      <c r="Q41" s="247">
        <v>-1.5384</v>
      </c>
      <c r="W41" s="242">
        <v>313</v>
      </c>
      <c r="X41" s="242">
        <f t="shared" si="0"/>
        <v>40</v>
      </c>
      <c r="Y41" s="242">
        <v>4178</v>
      </c>
    </row>
    <row r="42" spans="10:25" x14ac:dyDescent="0.2">
      <c r="J42" s="201" t="s">
        <v>424</v>
      </c>
      <c r="K42" s="215">
        <v>35</v>
      </c>
      <c r="L42" s="230"/>
      <c r="M42" s="201" t="s">
        <v>425</v>
      </c>
      <c r="N42" s="215">
        <v>100</v>
      </c>
      <c r="P42" s="248" t="s">
        <v>117</v>
      </c>
      <c r="Q42" s="249">
        <v>4218.8999999999996</v>
      </c>
      <c r="W42" s="242">
        <v>353</v>
      </c>
      <c r="X42" s="242">
        <f t="shared" si="0"/>
        <v>80</v>
      </c>
      <c r="Y42" s="242">
        <v>4196</v>
      </c>
    </row>
    <row r="43" spans="10:25" x14ac:dyDescent="0.2">
      <c r="J43" s="201" t="s">
        <v>425</v>
      </c>
      <c r="K43" s="215">
        <v>52</v>
      </c>
      <c r="M43" s="201" t="s">
        <v>410</v>
      </c>
      <c r="N43" s="202">
        <f>(((Q40/3)*(L39^3-N42^3)+(Q41/2)*(L39^2-N42^2)+Q42*(L39-N42))*(N41/3.6))/1000</f>
        <v>4719.7952592592592</v>
      </c>
      <c r="W43" s="242">
        <v>373</v>
      </c>
      <c r="X43" s="242">
        <f t="shared" si="0"/>
        <v>100</v>
      </c>
      <c r="Y43" s="242">
        <v>4216</v>
      </c>
    </row>
    <row r="44" spans="10:25" x14ac:dyDescent="0.2">
      <c r="J44" s="201" t="s">
        <v>410</v>
      </c>
      <c r="K44" s="202">
        <f>(((K41*(K42+273))/273/3600)*1.287)*(0.00085*(K43^2-K42^2)+1.012016*(K43-K42))</f>
        <v>372.30534366666666</v>
      </c>
      <c r="M44" s="212"/>
      <c r="N44" s="216"/>
      <c r="W44" s="242">
        <v>393</v>
      </c>
      <c r="X44" s="242">
        <f t="shared" si="0"/>
        <v>120</v>
      </c>
      <c r="Y44" s="242">
        <v>4250</v>
      </c>
    </row>
    <row r="45" spans="10:25" x14ac:dyDescent="0.2">
      <c r="J45" s="200"/>
      <c r="K45" s="205"/>
      <c r="W45" s="242">
        <v>413</v>
      </c>
      <c r="X45" s="242">
        <f t="shared" si="0"/>
        <v>140</v>
      </c>
      <c r="Y45" s="242">
        <v>4283</v>
      </c>
    </row>
    <row r="46" spans="10:25" x14ac:dyDescent="0.2">
      <c r="J46" s="200" t="s">
        <v>421</v>
      </c>
      <c r="K46" s="215">
        <v>10</v>
      </c>
      <c r="W46" s="242">
        <v>433</v>
      </c>
      <c r="X46" s="242">
        <f t="shared" si="0"/>
        <v>160</v>
      </c>
      <c r="Y46" s="242">
        <v>4342</v>
      </c>
    </row>
    <row r="47" spans="10:25" x14ac:dyDescent="0.2">
      <c r="J47" s="201" t="s">
        <v>425</v>
      </c>
      <c r="K47" s="205">
        <v>108.50000000000179</v>
      </c>
      <c r="W47" s="242">
        <v>453</v>
      </c>
      <c r="X47" s="242">
        <f t="shared" si="0"/>
        <v>180</v>
      </c>
      <c r="Y47" s="242">
        <v>4417</v>
      </c>
    </row>
    <row r="48" spans="10:25" x14ac:dyDescent="0.2">
      <c r="J48" s="212"/>
      <c r="K48" s="216"/>
      <c r="W48" s="242">
        <v>473</v>
      </c>
      <c r="X48" s="242">
        <f t="shared" si="0"/>
        <v>200</v>
      </c>
      <c r="Y48" s="242">
        <v>4505</v>
      </c>
    </row>
    <row r="49" spans="11:11" x14ac:dyDescent="0.2">
      <c r="K49" s="195"/>
    </row>
  </sheetData>
  <mergeCells count="14">
    <mergeCell ref="J40:K40"/>
    <mergeCell ref="M40:N40"/>
    <mergeCell ref="N23:O23"/>
    <mergeCell ref="K8:L8"/>
    <mergeCell ref="L32:M32"/>
    <mergeCell ref="M39:N39"/>
    <mergeCell ref="I19:J19"/>
    <mergeCell ref="K25:L25"/>
    <mergeCell ref="V5:X5"/>
    <mergeCell ref="A19:B19"/>
    <mergeCell ref="D25:E25"/>
    <mergeCell ref="C10:D10"/>
    <mergeCell ref="F10:G10"/>
    <mergeCell ref="G25:H25"/>
  </mergeCells>
  <phoneticPr fontId="1" type="noConversion"/>
  <dataValidations count="1">
    <dataValidation type="list" allowBlank="1" showInputMessage="1" showErrorMessage="1" sqref="G11 O24 D11 J20" xr:uid="{00000000-0002-0000-0800-000000000000}">
      <formula1>$T$6:$T$7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32" r:id="rId4" name="CommandButton1">
          <controlPr defaultSize="0" autoLine="0" r:id="rId5">
            <anchor moveWithCells="1">
              <from>
                <xdr:col>6</xdr:col>
                <xdr:colOff>381000</xdr:colOff>
                <xdr:row>19</xdr:row>
                <xdr:rowOff>114300</xdr:rowOff>
              </from>
              <to>
                <xdr:col>7</xdr:col>
                <xdr:colOff>333375</xdr:colOff>
                <xdr:row>21</xdr:row>
                <xdr:rowOff>38100</xdr:rowOff>
              </to>
            </anchor>
          </controlPr>
        </control>
      </mc:Choice>
      <mc:Fallback>
        <control shapeId="20532" r:id="rId4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O12:W43"/>
  <sheetViews>
    <sheetView topLeftCell="N7" zoomScale="75" workbookViewId="0">
      <selection activeCell="P13" sqref="P13:P34"/>
    </sheetView>
  </sheetViews>
  <sheetFormatPr baseColWidth="10" defaultColWidth="12.5703125" defaultRowHeight="14.25" x14ac:dyDescent="0.2"/>
  <cols>
    <col min="1" max="13" width="12.5703125" style="149" customWidth="1"/>
    <col min="14" max="14" width="23.5703125" style="149" customWidth="1"/>
    <col min="15" max="18" width="12.140625" style="149" customWidth="1"/>
    <col min="19" max="19" width="33.42578125" style="149" customWidth="1"/>
    <col min="20" max="20" width="16.7109375" style="149" customWidth="1"/>
    <col min="21" max="24" width="12.140625" style="149" customWidth="1"/>
    <col min="25" max="16384" width="12.5703125" style="149"/>
  </cols>
  <sheetData>
    <row r="12" spans="15:23" ht="15.75" x14ac:dyDescent="0.25">
      <c r="O12" s="142" t="s">
        <v>277</v>
      </c>
      <c r="P12" s="143"/>
      <c r="Q12" s="142" t="s">
        <v>278</v>
      </c>
      <c r="R12" s="144" t="s">
        <v>276</v>
      </c>
      <c r="S12" s="145" t="s">
        <v>279</v>
      </c>
      <c r="T12" s="146"/>
      <c r="U12" s="147" t="s">
        <v>280</v>
      </c>
      <c r="V12" s="148"/>
      <c r="W12" s="148"/>
    </row>
    <row r="13" spans="15:23" ht="15.75" x14ac:dyDescent="0.25">
      <c r="O13" s="150">
        <v>0</v>
      </c>
      <c r="P13" s="149">
        <v>0</v>
      </c>
      <c r="Q13" s="151">
        <v>0</v>
      </c>
      <c r="R13" s="152">
        <v>0</v>
      </c>
      <c r="S13" s="153"/>
      <c r="T13" s="154">
        <v>0</v>
      </c>
      <c r="U13" s="152" t="s">
        <v>281</v>
      </c>
      <c r="V13" s="152" t="s">
        <v>282</v>
      </c>
      <c r="W13" s="155" t="s">
        <v>283</v>
      </c>
    </row>
    <row r="14" spans="15:23" ht="15" x14ac:dyDescent="0.2">
      <c r="O14" s="150">
        <v>50</v>
      </c>
      <c r="P14" s="149">
        <v>5.7991784520000005</v>
      </c>
      <c r="Q14" s="151">
        <v>5.48</v>
      </c>
      <c r="R14" s="152">
        <v>50</v>
      </c>
      <c r="S14" s="156">
        <v>0</v>
      </c>
      <c r="T14" s="157">
        <v>1.1000000000000001</v>
      </c>
      <c r="U14" s="152">
        <v>0</v>
      </c>
      <c r="V14" s="158">
        <v>1.7456E-5</v>
      </c>
      <c r="W14" s="155">
        <v>2.0400000000000001E-2</v>
      </c>
    </row>
    <row r="15" spans="15:23" ht="15" x14ac:dyDescent="0.2">
      <c r="O15" s="150">
        <v>100</v>
      </c>
      <c r="P15" s="149">
        <v>11.598356904000001</v>
      </c>
      <c r="Q15" s="151">
        <v>11.23</v>
      </c>
      <c r="R15" s="152">
        <v>100</v>
      </c>
      <c r="S15" s="159">
        <v>1.1000000000000001</v>
      </c>
      <c r="T15" s="157">
        <v>1.5</v>
      </c>
      <c r="U15" s="152">
        <f t="shared" ref="U15:U39" si="0">+U14+20</f>
        <v>20</v>
      </c>
      <c r="V15" s="158">
        <v>1.8240000000000002E-5</v>
      </c>
      <c r="W15" s="155">
        <v>2.1600000000000001E-2</v>
      </c>
    </row>
    <row r="16" spans="15:23" ht="15" x14ac:dyDescent="0.2">
      <c r="O16" s="150">
        <v>150</v>
      </c>
      <c r="P16" s="149">
        <v>17.595777453</v>
      </c>
      <c r="Q16" s="151">
        <v>17.25</v>
      </c>
      <c r="R16" s="152">
        <v>150</v>
      </c>
      <c r="S16" s="159">
        <v>1.5</v>
      </c>
      <c r="T16" s="157">
        <v>2.2000000000000002</v>
      </c>
      <c r="U16" s="152">
        <f t="shared" si="0"/>
        <v>40</v>
      </c>
      <c r="V16" s="158">
        <v>1.9123E-5</v>
      </c>
      <c r="W16" s="155">
        <v>2.2800000000000001E-2</v>
      </c>
    </row>
    <row r="17" spans="15:23" ht="15" x14ac:dyDescent="0.2">
      <c r="O17" s="150">
        <v>200</v>
      </c>
      <c r="P17" s="149">
        <v>23.796217017</v>
      </c>
      <c r="Q17" s="151">
        <v>23.43</v>
      </c>
      <c r="R17" s="152">
        <v>200</v>
      </c>
      <c r="S17" s="159">
        <v>2.2000000000000002</v>
      </c>
      <c r="T17" s="157">
        <v>3</v>
      </c>
      <c r="U17" s="152">
        <f t="shared" si="0"/>
        <v>60</v>
      </c>
      <c r="V17" s="158">
        <v>1.9907000000000001E-5</v>
      </c>
      <c r="W17" s="160">
        <v>2.4E-2</v>
      </c>
    </row>
    <row r="18" spans="15:23" ht="15" x14ac:dyDescent="0.2">
      <c r="O18" s="150">
        <v>250</v>
      </c>
      <c r="P18" s="149">
        <v>30.19012176</v>
      </c>
      <c r="Q18" s="151">
        <v>29.83</v>
      </c>
      <c r="R18" s="152">
        <v>250</v>
      </c>
      <c r="S18" s="159">
        <v>3</v>
      </c>
      <c r="T18" s="157">
        <v>4</v>
      </c>
      <c r="U18" s="152">
        <f t="shared" si="0"/>
        <v>80</v>
      </c>
      <c r="V18" s="158">
        <v>2.0789999999999999E-5</v>
      </c>
      <c r="W18" s="155">
        <v>2.52E-2</v>
      </c>
    </row>
    <row r="19" spans="15:23" ht="15" x14ac:dyDescent="0.2">
      <c r="O19" s="150">
        <v>300</v>
      </c>
      <c r="P19" s="149">
        <v>36.782268600000002</v>
      </c>
      <c r="Q19" s="151">
        <v>36.44</v>
      </c>
      <c r="R19" s="152">
        <v>300</v>
      </c>
      <c r="S19" s="159">
        <v>4</v>
      </c>
      <c r="T19" s="157">
        <v>5.5</v>
      </c>
      <c r="U19" s="152">
        <f t="shared" si="0"/>
        <v>100</v>
      </c>
      <c r="V19" s="158">
        <v>2.1673000000000001E-5</v>
      </c>
      <c r="W19" s="155">
        <v>2.64E-2</v>
      </c>
    </row>
    <row r="20" spans="15:23" ht="15" x14ac:dyDescent="0.2">
      <c r="O20" s="150">
        <v>350</v>
      </c>
      <c r="P20" s="149">
        <v>43.58937675</v>
      </c>
      <c r="Q20" s="151">
        <v>43.3</v>
      </c>
      <c r="R20" s="152">
        <v>350</v>
      </c>
      <c r="S20" s="159">
        <v>5.5</v>
      </c>
      <c r="T20" s="157">
        <v>7.5</v>
      </c>
      <c r="U20" s="152">
        <f t="shared" si="0"/>
        <v>120</v>
      </c>
      <c r="V20" s="158">
        <v>2.2555E-5</v>
      </c>
      <c r="W20" s="155">
        <v>2.75E-2</v>
      </c>
    </row>
    <row r="21" spans="15:23" ht="15" x14ac:dyDescent="0.2">
      <c r="O21" s="150">
        <v>400</v>
      </c>
      <c r="P21" s="149">
        <v>50.683099979999994</v>
      </c>
      <c r="Q21" s="151">
        <v>50.42</v>
      </c>
      <c r="R21" s="152">
        <v>400</v>
      </c>
      <c r="S21" s="159">
        <v>7.5</v>
      </c>
      <c r="T21" s="157">
        <v>11</v>
      </c>
      <c r="U21" s="152">
        <f t="shared" si="0"/>
        <v>140</v>
      </c>
      <c r="V21" s="158">
        <v>2.334E-5</v>
      </c>
      <c r="W21" s="155">
        <v>2.86E-2</v>
      </c>
    </row>
    <row r="22" spans="15:23" ht="15" x14ac:dyDescent="0.2">
      <c r="O22" s="150">
        <v>450</v>
      </c>
      <c r="P22" s="149">
        <v>58.182861240000001</v>
      </c>
      <c r="Q22" s="151">
        <v>57.87</v>
      </c>
      <c r="R22" s="152">
        <v>450</v>
      </c>
      <c r="S22" s="159">
        <v>11</v>
      </c>
      <c r="T22" s="157">
        <v>15</v>
      </c>
      <c r="U22" s="152">
        <f t="shared" si="0"/>
        <v>160</v>
      </c>
      <c r="V22" s="158">
        <v>2.4124000000000001E-5</v>
      </c>
      <c r="W22" s="155">
        <v>2.9600000000000001E-2</v>
      </c>
    </row>
    <row r="23" spans="15:23" ht="15" x14ac:dyDescent="0.2">
      <c r="O23" s="150">
        <v>500</v>
      </c>
      <c r="P23" s="149">
        <v>66.088660529999999</v>
      </c>
      <c r="Q23" s="151">
        <v>65.760000000000005</v>
      </c>
      <c r="R23" s="152">
        <v>500</v>
      </c>
      <c r="S23" s="159">
        <v>15</v>
      </c>
      <c r="T23" s="157">
        <v>18.5</v>
      </c>
      <c r="U23" s="152">
        <f t="shared" si="0"/>
        <v>180</v>
      </c>
      <c r="V23" s="158">
        <v>2.4909000000000002E-5</v>
      </c>
      <c r="W23" s="155">
        <v>3.0700000000000002E-2</v>
      </c>
    </row>
    <row r="24" spans="15:23" ht="15" x14ac:dyDescent="0.2">
      <c r="O24" s="150">
        <v>550</v>
      </c>
      <c r="P24" s="149">
        <v>74.49603621</v>
      </c>
      <c r="Q24" s="151">
        <v>74.2</v>
      </c>
      <c r="R24" s="152">
        <v>550</v>
      </c>
      <c r="S24" s="159">
        <v>18.5</v>
      </c>
      <c r="T24" s="157">
        <v>22</v>
      </c>
      <c r="U24" s="152">
        <f t="shared" si="0"/>
        <v>200</v>
      </c>
      <c r="V24" s="158">
        <v>2.5692999999999999E-5</v>
      </c>
      <c r="W24" s="155">
        <v>3.1800000000000002E-2</v>
      </c>
    </row>
    <row r="25" spans="15:23" ht="15" x14ac:dyDescent="0.2">
      <c r="O25" s="150">
        <v>600</v>
      </c>
      <c r="P25" s="149">
        <v>83.476642049999995</v>
      </c>
      <c r="Q25" s="151">
        <v>83.21</v>
      </c>
      <c r="R25" s="152">
        <v>600</v>
      </c>
      <c r="S25" s="159">
        <v>22</v>
      </c>
      <c r="T25" s="157">
        <v>25</v>
      </c>
      <c r="U25" s="152">
        <f t="shared" si="0"/>
        <v>220</v>
      </c>
      <c r="V25" s="158">
        <v>2.6438E-5</v>
      </c>
      <c r="W25" s="160">
        <v>3.2840000000000001E-2</v>
      </c>
    </row>
    <row r="26" spans="15:23" ht="15" x14ac:dyDescent="0.2">
      <c r="O26" s="150">
        <v>650</v>
      </c>
      <c r="P26" s="149">
        <v>93.078247230000002</v>
      </c>
      <c r="Q26" s="151">
        <v>92.75</v>
      </c>
      <c r="R26" s="152">
        <v>650</v>
      </c>
      <c r="S26" s="159">
        <v>25</v>
      </c>
      <c r="T26" s="157">
        <v>30</v>
      </c>
      <c r="U26" s="152">
        <f t="shared" si="0"/>
        <v>240</v>
      </c>
      <c r="V26" s="158">
        <v>2.7183999999999999E-5</v>
      </c>
      <c r="W26" s="160">
        <v>3.39E-2</v>
      </c>
    </row>
    <row r="27" spans="15:23" ht="15" x14ac:dyDescent="0.2">
      <c r="O27" s="150">
        <v>700</v>
      </c>
      <c r="P27" s="149">
        <v>103.37250552</v>
      </c>
      <c r="Q27" s="151">
        <v>103.08</v>
      </c>
      <c r="R27" s="152">
        <v>700</v>
      </c>
      <c r="S27" s="159">
        <v>30</v>
      </c>
      <c r="T27" s="157">
        <v>37</v>
      </c>
      <c r="U27" s="152">
        <f t="shared" si="0"/>
        <v>260</v>
      </c>
      <c r="V27" s="158">
        <v>2.7912E-5</v>
      </c>
      <c r="W27" s="160">
        <v>3.49E-2</v>
      </c>
    </row>
    <row r="28" spans="15:23" ht="15" x14ac:dyDescent="0.2">
      <c r="O28" s="150">
        <v>750</v>
      </c>
      <c r="P28" s="149">
        <v>116.58068379000001</v>
      </c>
      <c r="Q28" s="151">
        <v>116.28</v>
      </c>
      <c r="R28" s="152">
        <v>750</v>
      </c>
      <c r="S28" s="159">
        <v>37</v>
      </c>
      <c r="T28" s="157">
        <v>45</v>
      </c>
      <c r="U28" s="152">
        <f t="shared" si="0"/>
        <v>280</v>
      </c>
      <c r="V28" s="158">
        <v>2.8622000000000001E-5</v>
      </c>
      <c r="W28" s="160">
        <v>3.5900000000000001E-2</v>
      </c>
    </row>
    <row r="29" spans="15:23" ht="15" x14ac:dyDescent="0.2">
      <c r="O29" s="150">
        <v>800</v>
      </c>
      <c r="P29" s="149">
        <v>126.97048044</v>
      </c>
      <c r="Q29" s="151">
        <v>126.73</v>
      </c>
      <c r="R29" s="152">
        <v>800</v>
      </c>
      <c r="S29" s="159">
        <v>45</v>
      </c>
      <c r="T29" s="157">
        <v>55</v>
      </c>
      <c r="U29" s="152">
        <f t="shared" si="0"/>
        <v>300</v>
      </c>
      <c r="V29" s="158">
        <v>2.9322000000000001E-5</v>
      </c>
      <c r="W29" s="160">
        <v>3.6900000000000002E-2</v>
      </c>
    </row>
    <row r="30" spans="15:23" ht="15" x14ac:dyDescent="0.2">
      <c r="O30" s="150">
        <v>850</v>
      </c>
      <c r="P30" s="149">
        <v>136.57208562</v>
      </c>
      <c r="Q30" s="151">
        <v>136.22999999999999</v>
      </c>
      <c r="R30" s="152">
        <v>850</v>
      </c>
      <c r="S30" s="159">
        <v>55</v>
      </c>
      <c r="T30" s="157">
        <v>75</v>
      </c>
      <c r="U30" s="152">
        <f t="shared" si="0"/>
        <v>320</v>
      </c>
      <c r="V30" s="158">
        <v>2.9989999999999999E-5</v>
      </c>
      <c r="W30" s="160">
        <f>+($AJ$44-$AJ$39)/100*(U30-$AH$39)+$AJ$39</f>
        <v>0</v>
      </c>
    </row>
    <row r="31" spans="15:23" ht="15" x14ac:dyDescent="0.2">
      <c r="O31" s="150">
        <v>900</v>
      </c>
      <c r="P31" s="149">
        <v>146.57972883000002</v>
      </c>
      <c r="Q31" s="151">
        <v>146.47999999999999</v>
      </c>
      <c r="R31" s="152">
        <v>900</v>
      </c>
      <c r="S31" s="159">
        <v>75</v>
      </c>
      <c r="T31" s="157">
        <v>90</v>
      </c>
      <c r="U31" s="152">
        <f t="shared" si="0"/>
        <v>340</v>
      </c>
      <c r="V31" s="158">
        <v>3.0654999999999997E-5</v>
      </c>
      <c r="W31" s="160">
        <f>+($AJ$44-$AJ$39)/100*(U31-$AH$39)+$AJ$39</f>
        <v>0</v>
      </c>
    </row>
    <row r="32" spans="15:23" ht="15" x14ac:dyDescent="0.2">
      <c r="O32" s="150">
        <v>950</v>
      </c>
      <c r="P32" s="149">
        <v>154.46164353</v>
      </c>
      <c r="Q32" s="151">
        <v>153.47999999999999</v>
      </c>
      <c r="R32" s="152">
        <v>950</v>
      </c>
      <c r="S32" s="159">
        <v>90</v>
      </c>
      <c r="T32" s="157">
        <v>110</v>
      </c>
      <c r="U32" s="152">
        <f>+U31+20</f>
        <v>360</v>
      </c>
      <c r="V32" s="158">
        <v>3.1341999999999999E-5</v>
      </c>
      <c r="W32" s="160">
        <f>+($AJ$44-$AJ$39)/100*(U32-$AH$39)+$AJ$39</f>
        <v>0</v>
      </c>
    </row>
    <row r="33" spans="15:23" ht="15" x14ac:dyDescent="0.2">
      <c r="O33" s="150">
        <v>1000</v>
      </c>
      <c r="P33" s="149">
        <v>162.46298118000001</v>
      </c>
      <c r="Q33" s="151">
        <v>161.47999999999999</v>
      </c>
      <c r="R33" s="152">
        <v>1000</v>
      </c>
      <c r="S33" s="159">
        <v>110</v>
      </c>
      <c r="T33" s="157">
        <v>132</v>
      </c>
      <c r="U33" s="152">
        <f t="shared" si="0"/>
        <v>380</v>
      </c>
      <c r="V33" s="158">
        <v>3.2048000000000002E-5</v>
      </c>
      <c r="W33" s="160">
        <f>+($AJ$44-$AJ$39)/100*(U33-$AH$39)+$AJ$39</f>
        <v>0</v>
      </c>
    </row>
    <row r="34" spans="15:23" ht="15" x14ac:dyDescent="0.2">
      <c r="O34" s="161">
        <v>1050</v>
      </c>
      <c r="P34" s="169">
        <v>170.46431883000002</v>
      </c>
      <c r="Q34" s="162">
        <v>169.48</v>
      </c>
      <c r="R34" s="163">
        <v>1050</v>
      </c>
      <c r="S34" s="159">
        <v>132</v>
      </c>
      <c r="T34" s="157">
        <v>160</v>
      </c>
      <c r="U34" s="152">
        <f t="shared" si="0"/>
        <v>400</v>
      </c>
      <c r="V34" s="158">
        <v>3.2753999999999998E-5</v>
      </c>
      <c r="W34" s="160">
        <v>4.1700000000000001E-2</v>
      </c>
    </row>
    <row r="35" spans="15:23" ht="15" x14ac:dyDescent="0.2">
      <c r="O35" s="152"/>
      <c r="P35" s="152"/>
      <c r="Q35" s="152"/>
      <c r="R35" s="152"/>
      <c r="S35" s="159">
        <v>160</v>
      </c>
      <c r="T35" s="157">
        <v>200</v>
      </c>
      <c r="U35" s="152">
        <f t="shared" si="0"/>
        <v>420</v>
      </c>
      <c r="V35" s="158">
        <f>+($AI$49-$AI$44)/100*(U35-$AH$44)+$AI$44</f>
        <v>0</v>
      </c>
      <c r="W35" s="160">
        <f>+($AJ$49-$AJ$44)/100*(U35-$AH$44)+$AJ$44</f>
        <v>0</v>
      </c>
    </row>
    <row r="36" spans="15:23" ht="15" x14ac:dyDescent="0.2">
      <c r="O36" s="152"/>
      <c r="P36" s="152"/>
      <c r="Q36" s="152"/>
      <c r="R36" s="152"/>
      <c r="S36" s="159">
        <v>200</v>
      </c>
      <c r="T36" s="157">
        <v>250</v>
      </c>
      <c r="U36" s="152">
        <f t="shared" si="0"/>
        <v>440</v>
      </c>
      <c r="V36" s="158">
        <f>+($AI$49-$AI$44)/100*(U36-$AH$44)+$AI$44</f>
        <v>0</v>
      </c>
      <c r="W36" s="160">
        <f>+($AJ$49-$AJ$44)/100*(U36-$AH$44)+$AJ$44</f>
        <v>0</v>
      </c>
    </row>
    <row r="37" spans="15:23" ht="15" x14ac:dyDescent="0.2">
      <c r="O37" s="152"/>
      <c r="P37" s="152"/>
      <c r="Q37" s="152"/>
      <c r="R37" s="152"/>
      <c r="S37" s="159">
        <v>250</v>
      </c>
      <c r="T37" s="157">
        <v>290</v>
      </c>
      <c r="U37" s="152">
        <f t="shared" si="0"/>
        <v>460</v>
      </c>
      <c r="V37" s="158">
        <f>+($AI$49-$AI$44)/100*(U37-$AH$44)+$AI$44</f>
        <v>0</v>
      </c>
      <c r="W37" s="160">
        <f>+($AJ$49-$AJ$44)/100*(U37-$AH$44)+$AJ$44</f>
        <v>0</v>
      </c>
    </row>
    <row r="38" spans="15:23" ht="15" x14ac:dyDescent="0.2">
      <c r="O38" s="152"/>
      <c r="P38" s="152"/>
      <c r="Q38" s="152"/>
      <c r="R38" s="152"/>
      <c r="S38" s="159">
        <v>290</v>
      </c>
      <c r="T38" s="157">
        <v>315</v>
      </c>
      <c r="U38" s="152">
        <f t="shared" si="0"/>
        <v>480</v>
      </c>
      <c r="V38" s="158">
        <f>+($AI$49-$AI$44)/100*(U38-$AH$44)+$AI$44</f>
        <v>0</v>
      </c>
      <c r="W38" s="160">
        <f>+($AJ$49-$AJ$44)/100*(U38-$AH$44)+$AJ$44</f>
        <v>0</v>
      </c>
    </row>
    <row r="39" spans="15:23" ht="15" x14ac:dyDescent="0.2">
      <c r="O39" s="152"/>
      <c r="P39" s="164"/>
      <c r="Q39" s="152"/>
      <c r="R39" s="152"/>
      <c r="S39" s="159">
        <v>315</v>
      </c>
      <c r="T39" s="157">
        <v>355</v>
      </c>
      <c r="U39" s="141">
        <f t="shared" si="0"/>
        <v>500</v>
      </c>
      <c r="V39" s="165">
        <v>3.5794000000000003E-5</v>
      </c>
      <c r="W39" s="166">
        <v>4.6399999999999997E-2</v>
      </c>
    </row>
    <row r="40" spans="15:23" ht="15" x14ac:dyDescent="0.2">
      <c r="O40" s="152"/>
      <c r="P40" s="164"/>
      <c r="Q40" s="152"/>
      <c r="R40" s="152"/>
      <c r="S40" s="159">
        <v>355</v>
      </c>
      <c r="T40" s="157">
        <v>400</v>
      </c>
      <c r="U40" s="152"/>
      <c r="V40" s="152"/>
      <c r="W40" s="152"/>
    </row>
    <row r="41" spans="15:23" ht="15" x14ac:dyDescent="0.2">
      <c r="O41" s="152"/>
      <c r="P41" s="152"/>
      <c r="Q41" s="152"/>
      <c r="R41" s="152"/>
      <c r="S41" s="159">
        <v>400</v>
      </c>
      <c r="T41" s="157">
        <v>450</v>
      </c>
      <c r="U41" s="152"/>
      <c r="V41" s="152"/>
      <c r="W41" s="152"/>
    </row>
    <row r="42" spans="15:23" ht="15" x14ac:dyDescent="0.2">
      <c r="O42" s="152"/>
      <c r="P42" s="152"/>
      <c r="Q42" s="152"/>
      <c r="R42" s="152"/>
      <c r="S42" s="159">
        <v>450</v>
      </c>
      <c r="T42" s="157">
        <v>530</v>
      </c>
      <c r="U42" s="152"/>
      <c r="V42" s="152"/>
      <c r="W42" s="152"/>
    </row>
    <row r="43" spans="15:23" ht="15" x14ac:dyDescent="0.2">
      <c r="O43" s="152"/>
      <c r="P43" s="152"/>
      <c r="Q43" s="152"/>
      <c r="R43" s="152"/>
      <c r="S43" s="167">
        <v>530</v>
      </c>
      <c r="T43" s="168"/>
      <c r="U43" s="152"/>
      <c r="V43" s="152"/>
      <c r="W43" s="152"/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E31"/>
  <sheetViews>
    <sheetView workbookViewId="0">
      <selection activeCell="E4" sqref="E4"/>
    </sheetView>
  </sheetViews>
  <sheetFormatPr baseColWidth="10" defaultColWidth="11.42578125" defaultRowHeight="12.75" x14ac:dyDescent="0.2"/>
  <cols>
    <col min="1" max="1" width="11.42578125" style="71" customWidth="1"/>
    <col min="2" max="2" width="11.42578125" style="72" customWidth="1"/>
    <col min="3" max="4" width="11.42578125" style="71" customWidth="1"/>
    <col min="5" max="5" width="11.42578125" style="72" customWidth="1"/>
    <col min="6" max="16384" width="11.42578125" style="71"/>
  </cols>
  <sheetData>
    <row r="1" spans="1:5" s="68" customFormat="1" ht="60" customHeight="1" x14ac:dyDescent="0.2">
      <c r="A1" s="67" t="s">
        <v>284</v>
      </c>
      <c r="B1" s="76"/>
      <c r="E1" s="76"/>
    </row>
    <row r="2" spans="1:5" s="69" customFormat="1" x14ac:dyDescent="0.2">
      <c r="A2" s="69" t="s">
        <v>77</v>
      </c>
      <c r="B2" s="77" t="s">
        <v>160</v>
      </c>
      <c r="C2" s="69" t="s">
        <v>70</v>
      </c>
      <c r="E2" s="77"/>
    </row>
    <row r="3" spans="1:5" x14ac:dyDescent="0.2">
      <c r="A3">
        <v>273</v>
      </c>
      <c r="B3" s="78">
        <v>0</v>
      </c>
      <c r="C3" s="40">
        <f>B3*0.2388459</f>
        <v>0</v>
      </c>
      <c r="E3" s="79"/>
    </row>
    <row r="4" spans="1:5" x14ac:dyDescent="0.2">
      <c r="A4">
        <v>323</v>
      </c>
      <c r="B4" s="78">
        <v>24.28</v>
      </c>
      <c r="C4" s="40">
        <f t="shared" ref="C4:C31" si="0">B4*0.2388459</f>
        <v>5.7991784520000005</v>
      </c>
      <c r="E4" s="79"/>
    </row>
    <row r="5" spans="1:5" x14ac:dyDescent="0.2">
      <c r="A5">
        <v>373</v>
      </c>
      <c r="B5" s="78">
        <v>48.56</v>
      </c>
      <c r="C5" s="40">
        <f t="shared" si="0"/>
        <v>11.598356904000001</v>
      </c>
      <c r="E5" s="79"/>
    </row>
    <row r="6" spans="1:5" x14ac:dyDescent="0.2">
      <c r="A6">
        <v>423</v>
      </c>
      <c r="B6" s="78">
        <v>73.67</v>
      </c>
      <c r="C6" s="40">
        <f t="shared" si="0"/>
        <v>17.595777453</v>
      </c>
      <c r="E6" s="79"/>
    </row>
    <row r="7" spans="1:5" x14ac:dyDescent="0.2">
      <c r="A7">
        <v>473</v>
      </c>
      <c r="B7" s="78">
        <v>99.63</v>
      </c>
      <c r="C7" s="40">
        <f t="shared" si="0"/>
        <v>23.796217017</v>
      </c>
      <c r="E7" s="79"/>
    </row>
    <row r="8" spans="1:5" x14ac:dyDescent="0.2">
      <c r="A8">
        <v>523</v>
      </c>
      <c r="B8" s="78">
        <v>126.4</v>
      </c>
      <c r="C8" s="40">
        <f t="shared" si="0"/>
        <v>30.19012176</v>
      </c>
      <c r="E8" s="79"/>
    </row>
    <row r="9" spans="1:5" x14ac:dyDescent="0.2">
      <c r="A9">
        <v>573</v>
      </c>
      <c r="B9" s="78">
        <v>154</v>
      </c>
      <c r="C9" s="40">
        <f t="shared" si="0"/>
        <v>36.782268600000002</v>
      </c>
      <c r="E9" s="79"/>
    </row>
    <row r="10" spans="1:5" x14ac:dyDescent="0.2">
      <c r="A10">
        <v>623</v>
      </c>
      <c r="B10" s="78">
        <v>182.5</v>
      </c>
      <c r="C10" s="40">
        <f t="shared" si="0"/>
        <v>43.58937675</v>
      </c>
      <c r="E10" s="79"/>
    </row>
    <row r="11" spans="1:5" x14ac:dyDescent="0.2">
      <c r="A11">
        <v>673</v>
      </c>
      <c r="B11" s="78">
        <v>212.2</v>
      </c>
      <c r="C11" s="40">
        <f t="shared" si="0"/>
        <v>50.683099979999994</v>
      </c>
      <c r="E11" s="79"/>
    </row>
    <row r="12" spans="1:5" x14ac:dyDescent="0.2">
      <c r="A12">
        <v>723</v>
      </c>
      <c r="B12" s="78">
        <v>243.6</v>
      </c>
      <c r="C12" s="40">
        <f t="shared" si="0"/>
        <v>58.182861240000001</v>
      </c>
      <c r="E12" s="79"/>
    </row>
    <row r="13" spans="1:5" x14ac:dyDescent="0.2">
      <c r="A13">
        <v>773</v>
      </c>
      <c r="B13" s="78">
        <v>276.7</v>
      </c>
      <c r="C13" s="40">
        <f t="shared" si="0"/>
        <v>66.088660529999999</v>
      </c>
      <c r="E13" s="79"/>
    </row>
    <row r="14" spans="1:5" x14ac:dyDescent="0.2">
      <c r="A14">
        <v>823</v>
      </c>
      <c r="B14" s="78">
        <v>311.89999999999998</v>
      </c>
      <c r="C14" s="40">
        <f t="shared" si="0"/>
        <v>74.49603621</v>
      </c>
      <c r="E14" s="79"/>
    </row>
    <row r="15" spans="1:5" x14ac:dyDescent="0.2">
      <c r="A15">
        <v>873</v>
      </c>
      <c r="B15" s="78">
        <v>349.5</v>
      </c>
      <c r="C15" s="40">
        <f t="shared" si="0"/>
        <v>83.476642049999995</v>
      </c>
      <c r="E15" s="79"/>
    </row>
    <row r="16" spans="1:5" x14ac:dyDescent="0.2">
      <c r="A16">
        <v>923</v>
      </c>
      <c r="B16" s="78">
        <v>389.7</v>
      </c>
      <c r="C16" s="40">
        <f t="shared" si="0"/>
        <v>93.078247230000002</v>
      </c>
      <c r="E16" s="79"/>
    </row>
    <row r="17" spans="1:5" x14ac:dyDescent="0.2">
      <c r="A17">
        <v>973</v>
      </c>
      <c r="B17" s="78">
        <v>432.8</v>
      </c>
      <c r="C17" s="40">
        <f t="shared" si="0"/>
        <v>103.37250552</v>
      </c>
      <c r="E17" s="79"/>
    </row>
    <row r="18" spans="1:5" x14ac:dyDescent="0.2">
      <c r="A18">
        <v>1023</v>
      </c>
      <c r="B18" s="78">
        <v>488.1</v>
      </c>
      <c r="C18" s="40">
        <f t="shared" si="0"/>
        <v>116.58068379000001</v>
      </c>
      <c r="E18" s="79"/>
    </row>
    <row r="19" spans="1:5" x14ac:dyDescent="0.2">
      <c r="A19">
        <v>1073</v>
      </c>
      <c r="B19" s="78">
        <v>531.6</v>
      </c>
      <c r="C19" s="40">
        <f t="shared" si="0"/>
        <v>126.97048044</v>
      </c>
      <c r="E19" s="79"/>
    </row>
    <row r="20" spans="1:5" x14ac:dyDescent="0.2">
      <c r="A20">
        <v>1123</v>
      </c>
      <c r="B20" s="78">
        <v>571.79999999999995</v>
      </c>
      <c r="C20" s="40">
        <f t="shared" si="0"/>
        <v>136.57208562</v>
      </c>
      <c r="E20" s="79"/>
    </row>
    <row r="21" spans="1:5" x14ac:dyDescent="0.2">
      <c r="A21">
        <v>1173</v>
      </c>
      <c r="B21" s="78">
        <v>613.70000000000005</v>
      </c>
      <c r="C21" s="40">
        <f t="shared" si="0"/>
        <v>146.57972883000002</v>
      </c>
      <c r="E21" s="79"/>
    </row>
    <row r="22" spans="1:5" x14ac:dyDescent="0.2">
      <c r="A22">
        <v>1223</v>
      </c>
      <c r="B22" s="78">
        <v>646.70000000000005</v>
      </c>
      <c r="C22" s="40">
        <f t="shared" si="0"/>
        <v>154.46164353</v>
      </c>
      <c r="E22" s="79"/>
    </row>
    <row r="23" spans="1:5" x14ac:dyDescent="0.2">
      <c r="A23">
        <v>1273</v>
      </c>
      <c r="B23" s="78">
        <v>680.2</v>
      </c>
      <c r="C23" s="40">
        <f t="shared" si="0"/>
        <v>162.46298118000001</v>
      </c>
      <c r="E23" s="79"/>
    </row>
    <row r="24" spans="1:5" x14ac:dyDescent="0.2">
      <c r="A24">
        <v>1323</v>
      </c>
      <c r="B24" s="78">
        <v>713.7</v>
      </c>
      <c r="C24" s="40">
        <f t="shared" si="0"/>
        <v>170.46431883000002</v>
      </c>
      <c r="E24" s="79"/>
    </row>
    <row r="25" spans="1:5" x14ac:dyDescent="0.2">
      <c r="A25">
        <v>1373</v>
      </c>
      <c r="B25" s="78">
        <v>747.2</v>
      </c>
      <c r="C25" s="40">
        <f t="shared" si="0"/>
        <v>178.46565648000001</v>
      </c>
      <c r="E25" s="79"/>
    </row>
    <row r="26" spans="1:5" x14ac:dyDescent="0.2">
      <c r="A26">
        <v>1423</v>
      </c>
      <c r="B26" s="78">
        <v>780.7</v>
      </c>
      <c r="C26" s="40">
        <f t="shared" si="0"/>
        <v>186.46699413000002</v>
      </c>
      <c r="E26" s="79"/>
    </row>
    <row r="27" spans="1:5" x14ac:dyDescent="0.2">
      <c r="A27">
        <v>1473</v>
      </c>
      <c r="B27" s="78">
        <v>814.2</v>
      </c>
      <c r="C27" s="40">
        <f t="shared" si="0"/>
        <v>194.46833178</v>
      </c>
      <c r="E27" s="79"/>
    </row>
    <row r="28" spans="1:5" x14ac:dyDescent="0.2">
      <c r="A28">
        <v>1523</v>
      </c>
      <c r="B28" s="78">
        <v>847.7</v>
      </c>
      <c r="C28" s="40">
        <f t="shared" si="0"/>
        <v>202.46966943000001</v>
      </c>
      <c r="E28" s="79"/>
    </row>
    <row r="29" spans="1:5" x14ac:dyDescent="0.2">
      <c r="A29">
        <v>1573</v>
      </c>
      <c r="B29" s="78">
        <v>881.2</v>
      </c>
      <c r="C29" s="40">
        <f t="shared" si="0"/>
        <v>210.47100708000002</v>
      </c>
      <c r="E29" s="79"/>
    </row>
    <row r="30" spans="1:5" x14ac:dyDescent="0.2">
      <c r="A30">
        <v>1623</v>
      </c>
      <c r="B30" s="78">
        <v>914.7</v>
      </c>
      <c r="C30" s="40">
        <f t="shared" si="0"/>
        <v>218.47234473</v>
      </c>
      <c r="E30" s="79"/>
    </row>
    <row r="31" spans="1:5" x14ac:dyDescent="0.2">
      <c r="A31" s="80">
        <v>3000</v>
      </c>
      <c r="B31" s="81">
        <f>B30</f>
        <v>914.7</v>
      </c>
      <c r="C31" s="40">
        <f t="shared" si="0"/>
        <v>218.47234473</v>
      </c>
    </row>
  </sheetData>
  <phoneticPr fontId="1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7"/>
  <dimension ref="A1:W31"/>
  <sheetViews>
    <sheetView workbookViewId="0">
      <selection activeCell="F1" sqref="F1"/>
    </sheetView>
  </sheetViews>
  <sheetFormatPr baseColWidth="10" defaultColWidth="11.42578125" defaultRowHeight="12.75" x14ac:dyDescent="0.2"/>
  <cols>
    <col min="1" max="16384" width="11.42578125" style="71"/>
  </cols>
  <sheetData>
    <row r="1" spans="1:23" s="68" customFormat="1" ht="60" customHeight="1" x14ac:dyDescent="0.2">
      <c r="A1" s="67" t="s">
        <v>131</v>
      </c>
    </row>
    <row r="2" spans="1:23" s="69" customFormat="1" x14ac:dyDescent="0.2">
      <c r="A2" s="69" t="s">
        <v>77</v>
      </c>
      <c r="B2" s="69" t="s">
        <v>78</v>
      </c>
      <c r="C2" s="69" t="s">
        <v>90</v>
      </c>
      <c r="D2" s="69" t="s">
        <v>91</v>
      </c>
      <c r="E2" s="69" t="s">
        <v>92</v>
      </c>
      <c r="F2" s="69" t="s">
        <v>93</v>
      </c>
      <c r="G2" s="69" t="s">
        <v>94</v>
      </c>
      <c r="H2" s="69" t="s">
        <v>95</v>
      </c>
      <c r="I2" s="69" t="s">
        <v>96</v>
      </c>
      <c r="J2" s="69" t="s">
        <v>97</v>
      </c>
      <c r="K2" s="69" t="s">
        <v>98</v>
      </c>
      <c r="L2" s="69" t="s">
        <v>99</v>
      </c>
      <c r="M2" s="69" t="s">
        <v>100</v>
      </c>
      <c r="N2" s="69" t="s">
        <v>101</v>
      </c>
      <c r="O2" s="69" t="s">
        <v>102</v>
      </c>
      <c r="P2" s="69" t="s">
        <v>103</v>
      </c>
      <c r="Q2" s="69" t="s">
        <v>104</v>
      </c>
      <c r="R2" s="69" t="s">
        <v>105</v>
      </c>
      <c r="S2" s="69" t="s">
        <v>106</v>
      </c>
      <c r="T2" s="69" t="s">
        <v>107</v>
      </c>
      <c r="U2" s="69" t="s">
        <v>108</v>
      </c>
      <c r="V2" s="69" t="s">
        <v>109</v>
      </c>
      <c r="W2" s="69" t="s">
        <v>110</v>
      </c>
    </row>
    <row r="3" spans="1:23" x14ac:dyDescent="0.2">
      <c r="A3" s="70">
        <v>253</v>
      </c>
      <c r="B3" s="71">
        <v>485.6</v>
      </c>
      <c r="C3" s="71">
        <v>485.6</v>
      </c>
      <c r="D3" s="71">
        <v>485.6</v>
      </c>
      <c r="E3" s="71">
        <v>485.6</v>
      </c>
      <c r="F3" s="71">
        <v>477.2</v>
      </c>
      <c r="G3" s="71">
        <v>485.6</v>
      </c>
      <c r="H3" s="71">
        <v>502.3</v>
      </c>
      <c r="I3" s="71">
        <v>485.6</v>
      </c>
      <c r="J3" s="71">
        <v>477.2</v>
      </c>
      <c r="K3" s="71">
        <v>485.6</v>
      </c>
      <c r="L3" s="71">
        <v>494</v>
      </c>
      <c r="M3" s="71">
        <v>485.6</v>
      </c>
      <c r="N3" s="71">
        <v>485.6</v>
      </c>
      <c r="O3" s="71">
        <v>494</v>
      </c>
      <c r="P3" s="71">
        <v>477.2</v>
      </c>
      <c r="Q3" s="71">
        <v>502.3</v>
      </c>
      <c r="R3" s="71">
        <v>519.1</v>
      </c>
      <c r="S3" s="71">
        <v>502.3</v>
      </c>
      <c r="T3" s="71">
        <v>510.7</v>
      </c>
      <c r="U3" s="71">
        <v>468.8</v>
      </c>
      <c r="V3" s="71">
        <v>468.8</v>
      </c>
      <c r="W3" s="71">
        <v>410.2</v>
      </c>
    </row>
    <row r="4" spans="1:23" x14ac:dyDescent="0.2">
      <c r="A4" s="70">
        <v>323</v>
      </c>
      <c r="B4" s="71">
        <v>485.6</v>
      </c>
      <c r="C4" s="71">
        <v>485.6</v>
      </c>
      <c r="D4" s="71">
        <v>485.6</v>
      </c>
      <c r="E4" s="71">
        <v>485.6</v>
      </c>
      <c r="F4" s="71">
        <v>477.2</v>
      </c>
      <c r="G4" s="71">
        <v>485.6</v>
      </c>
      <c r="H4" s="71">
        <v>502.3</v>
      </c>
      <c r="I4" s="71">
        <v>485.6</v>
      </c>
      <c r="J4" s="71">
        <v>477.2</v>
      </c>
      <c r="K4" s="71">
        <v>485.6</v>
      </c>
      <c r="L4" s="71">
        <v>494</v>
      </c>
      <c r="M4" s="71">
        <v>485.6</v>
      </c>
      <c r="N4" s="71">
        <v>485.6</v>
      </c>
      <c r="O4" s="71">
        <v>494</v>
      </c>
      <c r="P4" s="71">
        <v>477.2</v>
      </c>
      <c r="Q4" s="71">
        <v>502.3</v>
      </c>
      <c r="R4" s="71">
        <v>519.1</v>
      </c>
      <c r="S4" s="71">
        <v>502.3</v>
      </c>
      <c r="T4" s="71">
        <v>510.7</v>
      </c>
      <c r="U4" s="71">
        <v>468.8</v>
      </c>
      <c r="V4" s="71">
        <v>468.8</v>
      </c>
      <c r="W4" s="71">
        <v>410.2</v>
      </c>
    </row>
    <row r="5" spans="1:23" x14ac:dyDescent="0.2">
      <c r="A5" s="70">
        <v>373</v>
      </c>
      <c r="B5" s="71">
        <v>494</v>
      </c>
      <c r="C5" s="71">
        <v>494</v>
      </c>
      <c r="D5" s="71">
        <v>494</v>
      </c>
      <c r="E5" s="71">
        <v>494</v>
      </c>
      <c r="F5" s="71">
        <v>494</v>
      </c>
      <c r="G5" s="71">
        <v>502.3</v>
      </c>
      <c r="H5" s="71">
        <v>510.7</v>
      </c>
      <c r="I5" s="71">
        <v>502.3</v>
      </c>
      <c r="J5" s="71">
        <v>485.6</v>
      </c>
      <c r="K5" s="71">
        <v>494</v>
      </c>
      <c r="L5" s="71">
        <v>502.3</v>
      </c>
      <c r="M5" s="71">
        <v>502.3</v>
      </c>
      <c r="N5" s="71">
        <v>494</v>
      </c>
      <c r="O5" s="71">
        <v>502.3</v>
      </c>
      <c r="P5" s="71">
        <v>485.6</v>
      </c>
      <c r="Q5" s="71">
        <v>502.3</v>
      </c>
      <c r="R5" s="71">
        <v>527.4</v>
      </c>
      <c r="S5" s="71">
        <v>506.5</v>
      </c>
      <c r="T5" s="71">
        <v>519.1</v>
      </c>
      <c r="U5" s="71">
        <v>485.6</v>
      </c>
      <c r="V5" s="71">
        <v>481.4</v>
      </c>
      <c r="W5" s="71">
        <v>418.6</v>
      </c>
    </row>
    <row r="6" spans="1:23" x14ac:dyDescent="0.2">
      <c r="A6" s="70">
        <v>423</v>
      </c>
      <c r="B6" s="71">
        <v>510.7</v>
      </c>
      <c r="C6" s="71">
        <v>510.7</v>
      </c>
      <c r="D6" s="71">
        <v>510.7</v>
      </c>
      <c r="E6" s="71">
        <v>506.5</v>
      </c>
      <c r="F6" s="71">
        <v>514.9</v>
      </c>
      <c r="G6" s="71">
        <v>527.4</v>
      </c>
      <c r="H6" s="71">
        <v>531.6</v>
      </c>
      <c r="I6" s="71">
        <v>531.6</v>
      </c>
      <c r="J6" s="71">
        <v>502.3</v>
      </c>
      <c r="K6" s="71">
        <v>510.7</v>
      </c>
      <c r="L6" s="71">
        <v>514.9</v>
      </c>
      <c r="M6" s="71">
        <v>519.1</v>
      </c>
      <c r="N6" s="71">
        <v>514.9</v>
      </c>
      <c r="O6" s="71">
        <v>514.9</v>
      </c>
      <c r="P6" s="71">
        <v>506.5</v>
      </c>
      <c r="Q6" s="71">
        <v>514.9</v>
      </c>
      <c r="R6" s="71">
        <v>552.6</v>
      </c>
      <c r="S6" s="71">
        <v>514.9</v>
      </c>
      <c r="T6" s="71">
        <v>531.6</v>
      </c>
      <c r="U6" s="71">
        <v>510.7</v>
      </c>
      <c r="V6" s="71">
        <v>502.3</v>
      </c>
      <c r="W6" s="71">
        <v>431.2</v>
      </c>
    </row>
    <row r="7" spans="1:23" x14ac:dyDescent="0.2">
      <c r="A7" s="70">
        <v>473</v>
      </c>
      <c r="B7" s="71">
        <v>527.4</v>
      </c>
      <c r="C7" s="71">
        <v>531.6</v>
      </c>
      <c r="D7" s="71">
        <v>527.4</v>
      </c>
      <c r="E7" s="71">
        <v>519.1</v>
      </c>
      <c r="F7" s="71">
        <v>527.4</v>
      </c>
      <c r="G7" s="71">
        <v>540</v>
      </c>
      <c r="H7" s="71">
        <v>544.20000000000005</v>
      </c>
      <c r="I7" s="71">
        <v>544.20000000000005</v>
      </c>
      <c r="J7" s="71">
        <v>519.1</v>
      </c>
      <c r="K7" s="71">
        <v>527.4</v>
      </c>
      <c r="L7" s="71">
        <v>527.4</v>
      </c>
      <c r="M7" s="71">
        <v>527.4</v>
      </c>
      <c r="N7" s="71">
        <v>535.79999999999995</v>
      </c>
      <c r="O7" s="71">
        <v>527.4</v>
      </c>
      <c r="P7" s="71">
        <v>523.29999999999995</v>
      </c>
      <c r="Q7" s="71">
        <v>535.79999999999995</v>
      </c>
      <c r="R7" s="71">
        <v>573.5</v>
      </c>
      <c r="S7" s="71">
        <v>527.4</v>
      </c>
      <c r="T7" s="71">
        <v>535.79999999999995</v>
      </c>
      <c r="U7" s="71">
        <v>523.29999999999995</v>
      </c>
      <c r="V7" s="71">
        <v>523.29999999999995</v>
      </c>
      <c r="W7" s="71">
        <v>443.7</v>
      </c>
    </row>
    <row r="8" spans="1:23" x14ac:dyDescent="0.2">
      <c r="A8" s="70">
        <v>523</v>
      </c>
      <c r="B8" s="71">
        <v>544.20000000000005</v>
      </c>
      <c r="C8" s="71">
        <v>548.4</v>
      </c>
      <c r="D8" s="71">
        <v>544.20000000000005</v>
      </c>
      <c r="E8" s="71">
        <v>540</v>
      </c>
      <c r="F8" s="71">
        <v>544.20000000000005</v>
      </c>
      <c r="G8" s="71">
        <v>556.70000000000005</v>
      </c>
      <c r="H8" s="71">
        <v>556.70000000000005</v>
      </c>
      <c r="I8" s="71">
        <v>552.6</v>
      </c>
      <c r="J8" s="71">
        <v>535.79999999999995</v>
      </c>
      <c r="K8" s="71">
        <v>544.20000000000005</v>
      </c>
      <c r="L8" s="71">
        <v>552.6</v>
      </c>
      <c r="M8" s="71">
        <v>544.20000000000005</v>
      </c>
      <c r="N8" s="71">
        <v>548.4</v>
      </c>
      <c r="O8" s="71">
        <v>544.20000000000005</v>
      </c>
      <c r="P8" s="71">
        <v>535.79999999999995</v>
      </c>
      <c r="Q8" s="71">
        <v>548.4</v>
      </c>
      <c r="R8" s="71">
        <v>586</v>
      </c>
      <c r="S8" s="71">
        <v>540</v>
      </c>
      <c r="T8" s="71">
        <v>544.20000000000005</v>
      </c>
      <c r="U8" s="71">
        <v>540</v>
      </c>
      <c r="V8" s="71">
        <v>540</v>
      </c>
      <c r="W8" s="71">
        <v>460.5</v>
      </c>
    </row>
    <row r="9" spans="1:23" x14ac:dyDescent="0.2">
      <c r="A9" s="70">
        <v>573</v>
      </c>
      <c r="B9" s="71">
        <v>560.9</v>
      </c>
      <c r="C9" s="71">
        <v>560.9</v>
      </c>
      <c r="D9" s="71">
        <v>565.1</v>
      </c>
      <c r="E9" s="71">
        <v>560.9</v>
      </c>
      <c r="F9" s="71">
        <v>565.1</v>
      </c>
      <c r="G9" s="71">
        <v>577.70000000000005</v>
      </c>
      <c r="H9" s="71">
        <v>573.5</v>
      </c>
      <c r="I9" s="71">
        <v>569.29999999999995</v>
      </c>
      <c r="J9" s="71">
        <v>552.6</v>
      </c>
      <c r="K9" s="71">
        <v>560.9</v>
      </c>
      <c r="L9" s="71">
        <v>573.5</v>
      </c>
      <c r="M9" s="71">
        <v>560.9</v>
      </c>
      <c r="N9" s="71">
        <v>569.29999999999995</v>
      </c>
      <c r="O9" s="71">
        <v>565.1</v>
      </c>
      <c r="P9" s="71">
        <v>556.70000000000005</v>
      </c>
      <c r="Q9" s="71">
        <v>565.1</v>
      </c>
      <c r="R9" s="71">
        <v>602.79999999999995</v>
      </c>
      <c r="S9" s="71">
        <v>548.4</v>
      </c>
      <c r="T9" s="71">
        <v>552.6</v>
      </c>
      <c r="U9" s="71">
        <v>565.1</v>
      </c>
      <c r="V9" s="71">
        <v>556.70000000000005</v>
      </c>
      <c r="W9" s="71">
        <v>477.2</v>
      </c>
    </row>
    <row r="10" spans="1:23" x14ac:dyDescent="0.2">
      <c r="A10" s="70">
        <v>623</v>
      </c>
      <c r="B10" s="71">
        <v>581.9</v>
      </c>
      <c r="C10" s="71">
        <v>581.9</v>
      </c>
      <c r="D10" s="71">
        <v>586</v>
      </c>
      <c r="E10" s="71">
        <v>577.70000000000005</v>
      </c>
      <c r="F10" s="71">
        <v>586</v>
      </c>
      <c r="G10" s="71">
        <v>594.4</v>
      </c>
      <c r="H10" s="71">
        <v>594.4</v>
      </c>
      <c r="I10" s="71">
        <v>586</v>
      </c>
      <c r="J10" s="71">
        <v>577.70000000000005</v>
      </c>
      <c r="K10" s="71">
        <v>577.70000000000005</v>
      </c>
      <c r="L10" s="71">
        <v>586</v>
      </c>
      <c r="M10" s="71">
        <v>581.9</v>
      </c>
      <c r="N10" s="71">
        <v>594.4</v>
      </c>
      <c r="O10" s="71">
        <v>586</v>
      </c>
      <c r="P10" s="71">
        <v>581.9</v>
      </c>
      <c r="Q10" s="71">
        <v>590.20000000000005</v>
      </c>
      <c r="R10" s="71">
        <v>607</v>
      </c>
      <c r="S10" s="71">
        <v>544.20000000000005</v>
      </c>
      <c r="T10" s="71">
        <v>560.9</v>
      </c>
      <c r="U10" s="71">
        <v>590.20000000000005</v>
      </c>
      <c r="V10" s="71">
        <v>581.9</v>
      </c>
      <c r="W10" s="71">
        <v>494</v>
      </c>
    </row>
    <row r="11" spans="1:23" x14ac:dyDescent="0.2">
      <c r="A11" s="70">
        <v>673</v>
      </c>
      <c r="B11" s="71">
        <v>611.20000000000005</v>
      </c>
      <c r="C11" s="71">
        <v>611.20000000000005</v>
      </c>
      <c r="D11" s="71">
        <v>611.20000000000005</v>
      </c>
      <c r="E11" s="71">
        <v>598.6</v>
      </c>
      <c r="F11" s="71">
        <v>602.79999999999995</v>
      </c>
      <c r="G11" s="71">
        <v>615.29999999999995</v>
      </c>
      <c r="H11" s="71">
        <v>619.5</v>
      </c>
      <c r="I11" s="71">
        <v>607</v>
      </c>
      <c r="J11" s="71">
        <v>602.79999999999995</v>
      </c>
      <c r="K11" s="71">
        <v>602.79999999999995</v>
      </c>
      <c r="L11" s="71">
        <v>615.29999999999995</v>
      </c>
      <c r="M11" s="71">
        <v>611.20000000000005</v>
      </c>
      <c r="N11" s="71">
        <v>619.5</v>
      </c>
      <c r="O11" s="71">
        <v>607</v>
      </c>
      <c r="P11" s="71">
        <v>602.79999999999995</v>
      </c>
      <c r="Q11" s="71">
        <v>615.29999999999995</v>
      </c>
      <c r="R11" s="71">
        <v>611.20000000000005</v>
      </c>
      <c r="S11" s="71">
        <v>540</v>
      </c>
      <c r="T11" s="71">
        <v>577.70000000000005</v>
      </c>
      <c r="U11" s="71">
        <v>619.5</v>
      </c>
      <c r="V11" s="71">
        <v>615.29999999999995</v>
      </c>
      <c r="W11" s="71">
        <v>510.7</v>
      </c>
    </row>
    <row r="12" spans="1:23" x14ac:dyDescent="0.2">
      <c r="A12" s="70">
        <v>723</v>
      </c>
      <c r="B12" s="71">
        <v>644.70000000000005</v>
      </c>
      <c r="C12" s="71">
        <v>644.70000000000005</v>
      </c>
      <c r="D12" s="71">
        <v>644.70000000000005</v>
      </c>
      <c r="E12" s="71">
        <v>632.1</v>
      </c>
      <c r="F12" s="71">
        <v>627.9</v>
      </c>
      <c r="G12" s="71">
        <v>648.79999999999995</v>
      </c>
      <c r="H12" s="71">
        <v>648.79999999999995</v>
      </c>
      <c r="I12" s="71">
        <v>627.9</v>
      </c>
      <c r="J12" s="71">
        <v>632.1</v>
      </c>
      <c r="K12" s="71">
        <v>640.5</v>
      </c>
      <c r="L12" s="71">
        <v>653</v>
      </c>
      <c r="M12" s="71">
        <v>644.70000000000005</v>
      </c>
      <c r="N12" s="71">
        <v>653</v>
      </c>
      <c r="O12" s="71">
        <v>640.5</v>
      </c>
      <c r="P12" s="71">
        <v>632.1</v>
      </c>
      <c r="Q12" s="71">
        <v>648.79999999999995</v>
      </c>
      <c r="R12" s="71">
        <v>615.29999999999995</v>
      </c>
      <c r="S12" s="71">
        <v>556.70000000000005</v>
      </c>
      <c r="T12" s="71">
        <v>590.20000000000005</v>
      </c>
      <c r="U12" s="71">
        <v>661.4</v>
      </c>
      <c r="V12" s="71">
        <v>657.2</v>
      </c>
      <c r="W12" s="71">
        <v>535.79999999999995</v>
      </c>
    </row>
    <row r="13" spans="1:23" x14ac:dyDescent="0.2">
      <c r="A13" s="70">
        <v>773</v>
      </c>
      <c r="B13" s="71">
        <v>682.3</v>
      </c>
      <c r="C13" s="71">
        <v>678.1</v>
      </c>
      <c r="D13" s="71">
        <v>682.3</v>
      </c>
      <c r="E13" s="71">
        <v>669.8</v>
      </c>
      <c r="F13" s="71">
        <v>657.2</v>
      </c>
      <c r="G13" s="71">
        <v>682.3</v>
      </c>
      <c r="H13" s="71">
        <v>686.5</v>
      </c>
      <c r="I13" s="71">
        <v>648.79999999999995</v>
      </c>
      <c r="J13" s="71">
        <v>674</v>
      </c>
      <c r="K13" s="71">
        <v>682.3</v>
      </c>
      <c r="L13" s="71">
        <v>694.9</v>
      </c>
      <c r="M13" s="71">
        <v>686.5</v>
      </c>
      <c r="N13" s="71">
        <v>694.9</v>
      </c>
      <c r="O13" s="71">
        <v>678.1</v>
      </c>
      <c r="P13" s="71">
        <v>674</v>
      </c>
      <c r="Q13" s="71">
        <v>686.5</v>
      </c>
      <c r="R13" s="71">
        <v>653</v>
      </c>
      <c r="S13" s="71">
        <v>573.5</v>
      </c>
      <c r="T13" s="71">
        <v>611.20000000000005</v>
      </c>
      <c r="U13" s="71">
        <v>703.3</v>
      </c>
      <c r="V13" s="71">
        <v>703.3</v>
      </c>
      <c r="W13" s="71">
        <v>569.29999999999995</v>
      </c>
    </row>
    <row r="14" spans="1:23" x14ac:dyDescent="0.2">
      <c r="A14" s="70">
        <v>823</v>
      </c>
      <c r="B14" s="71">
        <v>728.4</v>
      </c>
      <c r="C14" s="71">
        <v>720</v>
      </c>
      <c r="D14" s="71">
        <v>724.2</v>
      </c>
      <c r="E14" s="71">
        <v>699.1</v>
      </c>
      <c r="F14" s="71">
        <v>694.9</v>
      </c>
      <c r="G14" s="71">
        <v>703.3</v>
      </c>
      <c r="H14" s="71">
        <v>728.4</v>
      </c>
      <c r="I14" s="71">
        <v>678.1</v>
      </c>
      <c r="J14" s="71">
        <v>720</v>
      </c>
      <c r="K14" s="71">
        <v>724.2</v>
      </c>
      <c r="L14" s="71">
        <v>749.3</v>
      </c>
      <c r="M14" s="71">
        <v>736.7</v>
      </c>
      <c r="N14" s="71">
        <v>745.1</v>
      </c>
      <c r="O14" s="71">
        <v>715.8</v>
      </c>
      <c r="P14" s="71">
        <v>715.8</v>
      </c>
      <c r="Q14" s="71">
        <v>728.4</v>
      </c>
      <c r="R14" s="71">
        <v>699.1</v>
      </c>
      <c r="S14" s="71">
        <v>581.9</v>
      </c>
      <c r="T14" s="71">
        <v>640.5</v>
      </c>
      <c r="U14" s="71">
        <v>753.5</v>
      </c>
      <c r="V14" s="71">
        <v>749.3</v>
      </c>
      <c r="W14" s="71">
        <v>590.20000000000005</v>
      </c>
    </row>
    <row r="15" spans="1:23" x14ac:dyDescent="0.2">
      <c r="A15" s="70">
        <v>873</v>
      </c>
      <c r="B15" s="71">
        <v>778.6</v>
      </c>
      <c r="C15" s="71">
        <v>766</v>
      </c>
      <c r="D15" s="71">
        <v>766</v>
      </c>
      <c r="E15" s="71">
        <v>720</v>
      </c>
      <c r="F15" s="71">
        <v>740.9</v>
      </c>
      <c r="G15" s="71">
        <v>720</v>
      </c>
      <c r="H15" s="71">
        <v>766</v>
      </c>
      <c r="I15" s="71">
        <v>720</v>
      </c>
      <c r="J15" s="71">
        <v>757.7</v>
      </c>
      <c r="K15" s="71">
        <v>770.2</v>
      </c>
      <c r="L15" s="71">
        <v>795.3</v>
      </c>
      <c r="M15" s="71">
        <v>782.8</v>
      </c>
      <c r="N15" s="71">
        <v>795.3</v>
      </c>
      <c r="O15" s="71">
        <v>757.7</v>
      </c>
      <c r="P15" s="71">
        <v>753.5</v>
      </c>
      <c r="Q15" s="71">
        <v>766</v>
      </c>
      <c r="R15" s="71">
        <v>674</v>
      </c>
      <c r="S15" s="71">
        <v>590.20000000000005</v>
      </c>
      <c r="T15" s="71">
        <v>640.5</v>
      </c>
      <c r="U15" s="71">
        <v>799.5</v>
      </c>
      <c r="V15" s="71">
        <v>807.9</v>
      </c>
      <c r="W15" s="71">
        <v>602.79999999999995</v>
      </c>
    </row>
    <row r="16" spans="1:23" x14ac:dyDescent="0.2">
      <c r="A16" s="70">
        <v>923</v>
      </c>
      <c r="B16" s="71">
        <v>833</v>
      </c>
      <c r="C16" s="71">
        <v>820.5</v>
      </c>
      <c r="D16" s="71">
        <v>816.3</v>
      </c>
      <c r="E16" s="71">
        <v>749.3</v>
      </c>
      <c r="F16" s="71">
        <v>807.9</v>
      </c>
      <c r="G16" s="71">
        <v>749.3</v>
      </c>
      <c r="H16" s="71">
        <v>807.9</v>
      </c>
      <c r="I16" s="71">
        <v>782.8</v>
      </c>
      <c r="J16" s="71">
        <v>807.1</v>
      </c>
      <c r="K16" s="71">
        <v>1214</v>
      </c>
      <c r="L16" s="71">
        <v>1059</v>
      </c>
      <c r="M16" s="71">
        <v>975.3</v>
      </c>
      <c r="N16" s="71">
        <v>937.7</v>
      </c>
      <c r="O16" s="71">
        <v>807.9</v>
      </c>
      <c r="P16" s="71">
        <v>799.5</v>
      </c>
      <c r="Q16" s="71">
        <v>803.7</v>
      </c>
      <c r="R16" s="71">
        <v>644.70000000000005</v>
      </c>
      <c r="S16" s="71">
        <v>590.20000000000005</v>
      </c>
      <c r="T16" s="71">
        <v>627.9</v>
      </c>
      <c r="U16" s="71">
        <v>845.6</v>
      </c>
      <c r="V16" s="71">
        <v>887.4</v>
      </c>
      <c r="W16" s="71">
        <v>623.70000000000005</v>
      </c>
    </row>
    <row r="17" spans="1:23" x14ac:dyDescent="0.2">
      <c r="A17" s="70">
        <v>973</v>
      </c>
      <c r="B17" s="71">
        <v>983.7</v>
      </c>
      <c r="C17" s="71">
        <v>996.3</v>
      </c>
      <c r="D17" s="71">
        <v>1139</v>
      </c>
      <c r="E17" s="71">
        <v>1176</v>
      </c>
      <c r="F17" s="71">
        <v>1344</v>
      </c>
      <c r="G17" s="71">
        <v>1423</v>
      </c>
      <c r="H17" s="71">
        <v>1511</v>
      </c>
      <c r="I17" s="71">
        <v>1453</v>
      </c>
      <c r="J17" s="71">
        <v>1147</v>
      </c>
      <c r="K17" s="71">
        <v>1293</v>
      </c>
      <c r="L17" s="71">
        <v>1239</v>
      </c>
      <c r="M17" s="71">
        <v>1264</v>
      </c>
      <c r="N17" s="71">
        <v>1356</v>
      </c>
      <c r="O17" s="71">
        <v>1168</v>
      </c>
      <c r="P17" s="71">
        <v>1218</v>
      </c>
      <c r="Q17" s="71">
        <v>866.5</v>
      </c>
      <c r="R17" s="71">
        <v>644.70000000000005</v>
      </c>
      <c r="S17" s="71">
        <v>586</v>
      </c>
      <c r="T17" s="71">
        <v>623.70000000000005</v>
      </c>
      <c r="U17" s="71">
        <v>891.6</v>
      </c>
      <c r="V17" s="71">
        <v>958.6</v>
      </c>
      <c r="W17" s="71">
        <v>678.1</v>
      </c>
    </row>
    <row r="18" spans="1:23" x14ac:dyDescent="0.2">
      <c r="A18" s="70">
        <v>1023</v>
      </c>
      <c r="B18" s="71">
        <v>987.9</v>
      </c>
      <c r="C18" s="71">
        <v>1051</v>
      </c>
      <c r="D18" s="71">
        <v>1193</v>
      </c>
      <c r="E18" s="71">
        <v>1101</v>
      </c>
      <c r="F18" s="71">
        <v>1348</v>
      </c>
      <c r="G18" s="71">
        <v>1344</v>
      </c>
      <c r="H18" s="71">
        <v>1407</v>
      </c>
      <c r="I18" s="71">
        <v>1369</v>
      </c>
      <c r="J18" s="71">
        <v>1135</v>
      </c>
      <c r="K18" s="71">
        <v>778.6</v>
      </c>
      <c r="L18" s="71">
        <v>866.5</v>
      </c>
      <c r="M18" s="71">
        <v>975.3</v>
      </c>
      <c r="N18" s="71">
        <v>1147</v>
      </c>
      <c r="O18" s="71">
        <v>1218</v>
      </c>
      <c r="P18" s="71">
        <v>1247</v>
      </c>
      <c r="Q18" s="71">
        <v>1134</v>
      </c>
      <c r="R18" s="71">
        <v>648.79999999999995</v>
      </c>
      <c r="S18" s="71">
        <v>586</v>
      </c>
      <c r="T18" s="71">
        <v>632.1</v>
      </c>
      <c r="U18" s="71">
        <v>795.3</v>
      </c>
      <c r="V18" s="71">
        <v>887.4</v>
      </c>
      <c r="W18" s="71">
        <v>720</v>
      </c>
    </row>
    <row r="19" spans="1:23" x14ac:dyDescent="0.2">
      <c r="A19" s="70">
        <v>1073</v>
      </c>
      <c r="B19" s="71">
        <v>837.2</v>
      </c>
      <c r="C19" s="71">
        <v>912.6</v>
      </c>
      <c r="D19" s="71">
        <v>845.6</v>
      </c>
      <c r="E19" s="71">
        <v>565.1</v>
      </c>
      <c r="F19" s="71">
        <v>736.7</v>
      </c>
      <c r="G19" s="71">
        <v>636.29999999999995</v>
      </c>
      <c r="H19" s="71">
        <v>623.70000000000005</v>
      </c>
      <c r="I19" s="71">
        <v>653</v>
      </c>
      <c r="J19" s="71">
        <v>686.5</v>
      </c>
      <c r="K19" s="71">
        <v>615.29999999999995</v>
      </c>
      <c r="L19" s="71">
        <v>565.1</v>
      </c>
      <c r="M19" s="71">
        <v>569.29999999999995</v>
      </c>
      <c r="N19" s="71">
        <v>636.29999999999995</v>
      </c>
      <c r="O19" s="71">
        <v>749.3</v>
      </c>
      <c r="P19" s="71">
        <v>728.4</v>
      </c>
      <c r="Q19" s="71">
        <v>987.9</v>
      </c>
      <c r="R19" s="71">
        <v>653</v>
      </c>
      <c r="S19" s="71">
        <v>586</v>
      </c>
      <c r="T19" s="71">
        <v>644.70000000000005</v>
      </c>
      <c r="U19" s="71">
        <v>745.1</v>
      </c>
      <c r="V19" s="71">
        <v>870.7</v>
      </c>
      <c r="W19" s="71">
        <v>699.1</v>
      </c>
    </row>
    <row r="20" spans="1:23" x14ac:dyDescent="0.2">
      <c r="A20" s="70">
        <v>1123</v>
      </c>
      <c r="B20" s="71">
        <v>820.5</v>
      </c>
      <c r="C20" s="71">
        <v>837.2</v>
      </c>
      <c r="D20" s="71">
        <v>690.7</v>
      </c>
      <c r="E20" s="71">
        <v>527.4</v>
      </c>
      <c r="F20" s="71">
        <v>598.6</v>
      </c>
      <c r="G20" s="71">
        <v>640.5</v>
      </c>
      <c r="H20" s="71">
        <v>619.5</v>
      </c>
      <c r="I20" s="71">
        <v>636.29999999999995</v>
      </c>
      <c r="J20" s="71">
        <v>544.20000000000005</v>
      </c>
      <c r="K20" s="71">
        <v>636.29999999999995</v>
      </c>
      <c r="L20" s="71">
        <v>573.5</v>
      </c>
      <c r="M20" s="71">
        <v>573.5</v>
      </c>
      <c r="N20" s="71">
        <v>636.29999999999995</v>
      </c>
      <c r="O20" s="71">
        <v>569.29999999999995</v>
      </c>
      <c r="P20" s="71">
        <v>577.70000000000005</v>
      </c>
      <c r="Q20" s="71">
        <v>619.5</v>
      </c>
      <c r="R20" s="71">
        <v>661.4</v>
      </c>
      <c r="S20" s="71">
        <v>590.20000000000005</v>
      </c>
      <c r="T20" s="71">
        <v>644.70000000000005</v>
      </c>
      <c r="U20" s="71">
        <v>736.7</v>
      </c>
      <c r="V20" s="71">
        <v>807.9</v>
      </c>
      <c r="W20" s="71">
        <v>707.4</v>
      </c>
    </row>
    <row r="21" spans="1:23" x14ac:dyDescent="0.2">
      <c r="A21" s="70">
        <v>1173</v>
      </c>
      <c r="B21" s="71">
        <v>749.3</v>
      </c>
      <c r="C21" s="71">
        <v>732.6</v>
      </c>
      <c r="D21" s="71">
        <v>648.79999999999995</v>
      </c>
      <c r="E21" s="71">
        <v>586</v>
      </c>
      <c r="F21" s="71">
        <v>607</v>
      </c>
      <c r="G21" s="71">
        <v>619.5</v>
      </c>
      <c r="H21" s="71">
        <v>619.5</v>
      </c>
      <c r="I21" s="71">
        <v>623.70000000000005</v>
      </c>
      <c r="J21" s="71">
        <v>560.9</v>
      </c>
      <c r="K21" s="71">
        <v>644.70000000000005</v>
      </c>
      <c r="L21" s="71">
        <v>607</v>
      </c>
      <c r="M21" s="71">
        <v>598.6</v>
      </c>
      <c r="N21" s="71">
        <v>640.5</v>
      </c>
      <c r="O21" s="71">
        <v>594.4</v>
      </c>
      <c r="P21" s="71">
        <v>590.20000000000005</v>
      </c>
      <c r="Q21" s="71">
        <v>627.9</v>
      </c>
      <c r="R21" s="71">
        <v>665.6</v>
      </c>
      <c r="S21" s="71">
        <v>594.4</v>
      </c>
      <c r="T21" s="71">
        <v>644.70000000000005</v>
      </c>
      <c r="U21" s="71">
        <v>661.4</v>
      </c>
      <c r="V21" s="71">
        <v>653</v>
      </c>
      <c r="W21" s="71">
        <v>657.2</v>
      </c>
    </row>
    <row r="22" spans="1:23" x14ac:dyDescent="0.2">
      <c r="A22" s="70">
        <v>1223</v>
      </c>
      <c r="B22" s="71">
        <v>665.6</v>
      </c>
      <c r="C22" s="71">
        <v>653</v>
      </c>
      <c r="D22" s="71">
        <v>648.79999999999995</v>
      </c>
      <c r="E22" s="71">
        <v>623.70000000000005</v>
      </c>
      <c r="F22" s="71">
        <v>627.9</v>
      </c>
      <c r="G22" s="71">
        <v>627.9</v>
      </c>
      <c r="H22" s="71">
        <v>615.29999999999995</v>
      </c>
      <c r="I22" s="71">
        <v>623.70000000000005</v>
      </c>
      <c r="J22" s="71">
        <v>594.4</v>
      </c>
      <c r="K22" s="71">
        <v>644.70000000000005</v>
      </c>
      <c r="L22" s="71">
        <v>636.29999999999995</v>
      </c>
      <c r="M22" s="71">
        <v>627.9</v>
      </c>
      <c r="N22" s="71">
        <v>636.29999999999995</v>
      </c>
      <c r="O22" s="71">
        <v>619.5</v>
      </c>
      <c r="P22" s="71">
        <v>598.6</v>
      </c>
      <c r="Q22" s="71">
        <v>632.1</v>
      </c>
      <c r="R22" s="71">
        <v>669.8</v>
      </c>
      <c r="S22" s="71">
        <v>594.4</v>
      </c>
      <c r="T22" s="71">
        <v>648.79999999999995</v>
      </c>
      <c r="U22" s="71">
        <v>648.79999999999995</v>
      </c>
      <c r="V22" s="71">
        <v>648.79999999999995</v>
      </c>
      <c r="W22" s="71">
        <v>586</v>
      </c>
    </row>
    <row r="23" spans="1:23" x14ac:dyDescent="0.2">
      <c r="A23" s="70">
        <v>1273</v>
      </c>
      <c r="B23" s="71">
        <v>669.8</v>
      </c>
      <c r="C23" s="71">
        <v>657.2</v>
      </c>
      <c r="D23" s="71">
        <v>648.79999999999995</v>
      </c>
      <c r="E23" s="71">
        <v>627.9</v>
      </c>
      <c r="F23" s="71">
        <v>627.9</v>
      </c>
      <c r="G23" s="71">
        <v>636.29999999999995</v>
      </c>
      <c r="H23" s="71">
        <v>619.5</v>
      </c>
      <c r="I23" s="71">
        <v>632.1</v>
      </c>
      <c r="J23" s="71">
        <v>602.79999999999995</v>
      </c>
      <c r="K23" s="71">
        <v>644.70000000000005</v>
      </c>
      <c r="L23" s="71">
        <v>636.29999999999995</v>
      </c>
      <c r="M23" s="71">
        <v>644.70000000000005</v>
      </c>
      <c r="N23" s="71">
        <v>632.1</v>
      </c>
      <c r="O23" s="71">
        <v>627.9</v>
      </c>
      <c r="P23" s="71">
        <v>607</v>
      </c>
      <c r="Q23" s="71">
        <v>640.5</v>
      </c>
      <c r="R23" s="71">
        <v>678.1</v>
      </c>
      <c r="S23" s="71">
        <v>598.6</v>
      </c>
      <c r="T23" s="71">
        <v>653</v>
      </c>
      <c r="U23" s="71">
        <v>648.79999999999995</v>
      </c>
      <c r="V23" s="71">
        <v>644.70000000000005</v>
      </c>
      <c r="W23" s="71">
        <v>602.79999999999995</v>
      </c>
    </row>
    <row r="24" spans="1:23" x14ac:dyDescent="0.2">
      <c r="A24" s="70">
        <v>1323</v>
      </c>
      <c r="B24" s="71">
        <v>669.8</v>
      </c>
      <c r="C24" s="71">
        <v>661.4</v>
      </c>
      <c r="D24" s="71">
        <v>648.79999999999995</v>
      </c>
      <c r="E24" s="71">
        <v>632.1</v>
      </c>
      <c r="F24" s="71">
        <v>627.9</v>
      </c>
      <c r="G24" s="71">
        <v>644.70000000000005</v>
      </c>
      <c r="H24" s="71">
        <v>632.1</v>
      </c>
      <c r="I24" s="71">
        <v>640.5</v>
      </c>
      <c r="J24" s="71">
        <v>611.20000000000005</v>
      </c>
      <c r="K24" s="71">
        <v>644.70000000000005</v>
      </c>
      <c r="L24" s="71">
        <v>636.29999999999995</v>
      </c>
      <c r="M24" s="71">
        <v>648.79999999999995</v>
      </c>
      <c r="N24" s="71">
        <v>636.29999999999995</v>
      </c>
      <c r="O24" s="71">
        <v>627.9</v>
      </c>
      <c r="P24" s="71">
        <v>611.20000000000005</v>
      </c>
      <c r="Q24" s="71">
        <v>648.79999999999995</v>
      </c>
      <c r="R24" s="71">
        <v>682.3</v>
      </c>
      <c r="S24" s="71">
        <v>602.79999999999995</v>
      </c>
      <c r="T24" s="71">
        <v>657.2</v>
      </c>
      <c r="U24" s="71">
        <v>653</v>
      </c>
      <c r="V24" s="71">
        <v>644.70000000000005</v>
      </c>
      <c r="W24" s="71">
        <v>615.29999999999995</v>
      </c>
    </row>
    <row r="25" spans="1:23" x14ac:dyDescent="0.2">
      <c r="A25" s="70">
        <v>1373</v>
      </c>
      <c r="B25" s="71">
        <v>669.8</v>
      </c>
      <c r="C25" s="71">
        <v>661.4</v>
      </c>
      <c r="D25" s="71">
        <v>653</v>
      </c>
      <c r="E25" s="71">
        <v>636.29999999999995</v>
      </c>
      <c r="F25" s="71">
        <v>636.29999999999995</v>
      </c>
      <c r="G25" s="71">
        <v>657.2</v>
      </c>
      <c r="H25" s="71">
        <v>644.70000000000005</v>
      </c>
      <c r="I25" s="71">
        <v>644.70000000000005</v>
      </c>
      <c r="J25" s="71">
        <v>619.5</v>
      </c>
      <c r="K25" s="71">
        <v>640.5</v>
      </c>
      <c r="L25" s="71">
        <v>644.70000000000005</v>
      </c>
      <c r="M25" s="71">
        <v>653</v>
      </c>
      <c r="N25" s="71">
        <v>636.29999999999995</v>
      </c>
      <c r="O25" s="71">
        <v>619.5</v>
      </c>
      <c r="P25" s="71">
        <v>619.5</v>
      </c>
      <c r="Q25" s="71">
        <v>657.2</v>
      </c>
      <c r="R25" s="71">
        <v>690.7</v>
      </c>
      <c r="S25" s="71">
        <v>607</v>
      </c>
      <c r="T25" s="71">
        <v>665.6</v>
      </c>
      <c r="U25" s="71">
        <v>653</v>
      </c>
      <c r="V25" s="71">
        <v>648.79999999999995</v>
      </c>
      <c r="W25" s="71">
        <v>611.20000000000005</v>
      </c>
    </row>
    <row r="26" spans="1:23" x14ac:dyDescent="0.2">
      <c r="A26" s="70">
        <v>1423</v>
      </c>
      <c r="B26" s="71">
        <v>669.8</v>
      </c>
      <c r="C26" s="71">
        <v>661.4</v>
      </c>
      <c r="D26" s="71">
        <v>661.4</v>
      </c>
      <c r="E26" s="71">
        <v>648.79999999999995</v>
      </c>
      <c r="F26" s="71">
        <v>648.79999999999995</v>
      </c>
      <c r="G26" s="71">
        <v>665.6</v>
      </c>
      <c r="H26" s="71">
        <v>661.4</v>
      </c>
      <c r="I26" s="71">
        <v>653</v>
      </c>
      <c r="J26" s="71">
        <v>627.9</v>
      </c>
      <c r="K26" s="71">
        <v>644.70000000000005</v>
      </c>
      <c r="L26" s="71">
        <v>653</v>
      </c>
      <c r="M26" s="71">
        <v>657.2</v>
      </c>
      <c r="N26" s="71">
        <v>640.5</v>
      </c>
      <c r="O26" s="71">
        <v>619.5</v>
      </c>
      <c r="P26" s="71">
        <v>632.1</v>
      </c>
      <c r="Q26" s="71">
        <v>665.6</v>
      </c>
      <c r="R26" s="71">
        <v>694.9</v>
      </c>
      <c r="S26" s="71">
        <v>615.29999999999995</v>
      </c>
      <c r="T26" s="71">
        <v>669.8</v>
      </c>
      <c r="U26" s="71">
        <v>648.79999999999995</v>
      </c>
      <c r="V26" s="71">
        <v>653</v>
      </c>
      <c r="W26" s="71">
        <v>611.20000000000005</v>
      </c>
    </row>
    <row r="27" spans="1:23" x14ac:dyDescent="0.2">
      <c r="A27" s="70">
        <v>1473</v>
      </c>
      <c r="B27" s="71">
        <v>669.8</v>
      </c>
      <c r="C27" s="71">
        <v>661.4</v>
      </c>
      <c r="D27" s="71">
        <v>669.8</v>
      </c>
      <c r="E27" s="71">
        <v>661.4</v>
      </c>
      <c r="F27" s="71">
        <v>661.4</v>
      </c>
      <c r="G27" s="71">
        <v>674</v>
      </c>
      <c r="H27" s="71">
        <v>674</v>
      </c>
      <c r="I27" s="71">
        <v>661.4</v>
      </c>
      <c r="J27" s="71">
        <v>636.29999999999995</v>
      </c>
      <c r="K27" s="71">
        <v>653</v>
      </c>
      <c r="L27" s="71">
        <v>653</v>
      </c>
      <c r="M27" s="71">
        <v>661.4</v>
      </c>
      <c r="N27" s="71">
        <v>644.70000000000005</v>
      </c>
      <c r="O27" s="71">
        <v>627.9</v>
      </c>
      <c r="P27" s="71">
        <v>636.29999999999995</v>
      </c>
      <c r="Q27" s="71">
        <v>674</v>
      </c>
      <c r="R27" s="71">
        <v>699.1</v>
      </c>
      <c r="S27" s="71">
        <v>632.1</v>
      </c>
      <c r="T27" s="71">
        <v>674</v>
      </c>
      <c r="U27" s="71">
        <v>648.79999999999995</v>
      </c>
      <c r="V27" s="71">
        <v>661.4</v>
      </c>
      <c r="W27" s="71">
        <v>611.20000000000005</v>
      </c>
    </row>
    <row r="28" spans="1:23" x14ac:dyDescent="0.2">
      <c r="A28" s="70">
        <v>1523</v>
      </c>
      <c r="B28" s="71">
        <v>669.8</v>
      </c>
      <c r="C28" s="71">
        <v>665.6</v>
      </c>
      <c r="D28" s="71">
        <v>682.3</v>
      </c>
      <c r="E28" s="71">
        <v>678.1</v>
      </c>
      <c r="F28" s="71">
        <v>674</v>
      </c>
      <c r="G28" s="71">
        <v>678.1</v>
      </c>
      <c r="H28" s="71">
        <v>686.5</v>
      </c>
      <c r="I28" s="71">
        <v>669.8</v>
      </c>
      <c r="J28" s="71">
        <v>640.5</v>
      </c>
      <c r="K28" s="71">
        <v>657.2</v>
      </c>
      <c r="L28" s="71">
        <v>653</v>
      </c>
      <c r="M28" s="71">
        <v>665.6</v>
      </c>
      <c r="N28" s="71">
        <v>648.79999999999995</v>
      </c>
      <c r="O28" s="71">
        <v>636.29999999999995</v>
      </c>
      <c r="P28" s="71">
        <v>640.5</v>
      </c>
      <c r="Q28" s="71">
        <v>682.3</v>
      </c>
      <c r="R28" s="71">
        <v>703.3</v>
      </c>
      <c r="S28" s="71">
        <v>653</v>
      </c>
      <c r="T28" s="71">
        <v>678.1</v>
      </c>
      <c r="U28" s="71">
        <v>653</v>
      </c>
      <c r="V28" s="71">
        <v>669.8</v>
      </c>
      <c r="W28" s="71">
        <v>607</v>
      </c>
    </row>
    <row r="29" spans="1:23" x14ac:dyDescent="0.2">
      <c r="A29" s="70">
        <v>1573</v>
      </c>
      <c r="B29" s="71">
        <v>669.8</v>
      </c>
      <c r="C29" s="71">
        <v>669.8</v>
      </c>
      <c r="D29" s="71">
        <v>686.5</v>
      </c>
      <c r="E29" s="71">
        <v>686.5</v>
      </c>
      <c r="F29" s="71">
        <v>678.1</v>
      </c>
      <c r="G29" s="71">
        <v>678.1</v>
      </c>
      <c r="H29" s="71">
        <v>694.9</v>
      </c>
      <c r="I29" s="71">
        <v>669.8</v>
      </c>
      <c r="J29" s="71">
        <v>644.70000000000005</v>
      </c>
      <c r="K29" s="71">
        <v>661.4</v>
      </c>
      <c r="L29" s="71">
        <v>653</v>
      </c>
      <c r="M29" s="71">
        <v>661.4</v>
      </c>
      <c r="N29" s="71">
        <v>653</v>
      </c>
      <c r="O29" s="71">
        <v>644.70000000000005</v>
      </c>
      <c r="P29" s="71">
        <v>644.70000000000005</v>
      </c>
      <c r="Q29" s="71">
        <v>686.5</v>
      </c>
      <c r="R29" s="71">
        <v>703.3</v>
      </c>
      <c r="S29" s="71">
        <v>661.4</v>
      </c>
      <c r="T29" s="71">
        <v>678.1</v>
      </c>
      <c r="U29" s="71">
        <v>653</v>
      </c>
      <c r="V29" s="71">
        <v>678.1</v>
      </c>
      <c r="W29" s="71">
        <v>611.20000000000005</v>
      </c>
    </row>
    <row r="30" spans="1:23" x14ac:dyDescent="0.2">
      <c r="A30" s="70">
        <v>1623</v>
      </c>
      <c r="B30" s="71">
        <v>669.8</v>
      </c>
      <c r="C30" s="71">
        <v>669.8</v>
      </c>
      <c r="D30" s="71">
        <v>686.5</v>
      </c>
      <c r="E30" s="71">
        <v>686.5</v>
      </c>
      <c r="F30" s="71">
        <v>678.1</v>
      </c>
      <c r="G30" s="71">
        <v>678.1</v>
      </c>
      <c r="H30" s="71">
        <v>694.9</v>
      </c>
      <c r="I30" s="71">
        <v>669.8</v>
      </c>
      <c r="J30" s="71">
        <v>644.70000000000005</v>
      </c>
      <c r="K30" s="71">
        <v>661.4</v>
      </c>
      <c r="L30" s="71">
        <v>653</v>
      </c>
      <c r="M30" s="71">
        <v>661.4</v>
      </c>
      <c r="N30" s="71">
        <v>653</v>
      </c>
      <c r="O30" s="71">
        <v>644.70000000000005</v>
      </c>
      <c r="P30" s="71">
        <v>644.70000000000005</v>
      </c>
      <c r="Q30" s="71">
        <v>686.5</v>
      </c>
      <c r="R30" s="71">
        <v>703.3</v>
      </c>
      <c r="S30" s="71">
        <v>661.4</v>
      </c>
      <c r="T30" s="71">
        <v>678.1</v>
      </c>
      <c r="U30" s="71">
        <v>653</v>
      </c>
      <c r="V30" s="71">
        <v>678.1</v>
      </c>
      <c r="W30" s="71">
        <v>611.20000000000005</v>
      </c>
    </row>
    <row r="31" spans="1:23" x14ac:dyDescent="0.2">
      <c r="A31" s="70">
        <v>3000</v>
      </c>
      <c r="B31" s="71">
        <f>B30</f>
        <v>669.8</v>
      </c>
      <c r="C31" s="71">
        <f t="shared" ref="C31:W31" si="0">C30</f>
        <v>669.8</v>
      </c>
      <c r="D31" s="71">
        <f t="shared" si="0"/>
        <v>686.5</v>
      </c>
      <c r="E31" s="71">
        <f t="shared" si="0"/>
        <v>686.5</v>
      </c>
      <c r="F31" s="71">
        <f t="shared" si="0"/>
        <v>678.1</v>
      </c>
      <c r="G31" s="71">
        <f t="shared" si="0"/>
        <v>678.1</v>
      </c>
      <c r="H31" s="71">
        <f t="shared" si="0"/>
        <v>694.9</v>
      </c>
      <c r="I31" s="71">
        <f t="shared" si="0"/>
        <v>669.8</v>
      </c>
      <c r="J31" s="71">
        <f t="shared" si="0"/>
        <v>644.70000000000005</v>
      </c>
      <c r="K31" s="71">
        <f t="shared" si="0"/>
        <v>661.4</v>
      </c>
      <c r="L31" s="71">
        <f t="shared" si="0"/>
        <v>653</v>
      </c>
      <c r="M31" s="71">
        <f t="shared" si="0"/>
        <v>661.4</v>
      </c>
      <c r="N31" s="71">
        <f t="shared" si="0"/>
        <v>653</v>
      </c>
      <c r="O31" s="71">
        <f t="shared" si="0"/>
        <v>644.70000000000005</v>
      </c>
      <c r="P31" s="71">
        <f t="shared" si="0"/>
        <v>644.70000000000005</v>
      </c>
      <c r="Q31" s="71">
        <f t="shared" si="0"/>
        <v>686.5</v>
      </c>
      <c r="R31" s="71">
        <f t="shared" si="0"/>
        <v>703.3</v>
      </c>
      <c r="S31" s="71">
        <f t="shared" si="0"/>
        <v>661.4</v>
      </c>
      <c r="T31" s="71">
        <f t="shared" si="0"/>
        <v>678.1</v>
      </c>
      <c r="U31" s="71">
        <f t="shared" si="0"/>
        <v>653</v>
      </c>
      <c r="V31" s="71">
        <f t="shared" si="0"/>
        <v>678.1</v>
      </c>
      <c r="W31" s="71">
        <f t="shared" si="0"/>
        <v>611.20000000000005</v>
      </c>
    </row>
  </sheetData>
  <phoneticPr fontId="1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8"/>
  <dimension ref="A1:W31"/>
  <sheetViews>
    <sheetView workbookViewId="0">
      <selection activeCell="B4" sqref="B4"/>
    </sheetView>
  </sheetViews>
  <sheetFormatPr baseColWidth="10" defaultColWidth="11.42578125" defaultRowHeight="12.75" x14ac:dyDescent="0.2"/>
  <cols>
    <col min="1" max="16384" width="11.42578125" style="71"/>
  </cols>
  <sheetData>
    <row r="1" spans="1:23" s="68" customFormat="1" ht="60" customHeight="1" x14ac:dyDescent="0.2">
      <c r="A1" s="67" t="s">
        <v>132</v>
      </c>
    </row>
    <row r="2" spans="1:23" s="69" customFormat="1" x14ac:dyDescent="0.2">
      <c r="A2" s="69" t="s">
        <v>77</v>
      </c>
      <c r="B2" s="69" t="s">
        <v>78</v>
      </c>
      <c r="C2" s="69" t="s">
        <v>90</v>
      </c>
      <c r="D2" s="69" t="s">
        <v>91</v>
      </c>
      <c r="E2" s="69" t="s">
        <v>92</v>
      </c>
      <c r="F2" s="69" t="s">
        <v>93</v>
      </c>
      <c r="G2" s="69" t="s">
        <v>94</v>
      </c>
      <c r="H2" s="69" t="s">
        <v>95</v>
      </c>
      <c r="I2" s="69" t="s">
        <v>96</v>
      </c>
      <c r="J2" s="69" t="s">
        <v>97</v>
      </c>
      <c r="K2" s="69" t="s">
        <v>98</v>
      </c>
      <c r="L2" s="69" t="s">
        <v>99</v>
      </c>
      <c r="M2" s="69" t="s">
        <v>100</v>
      </c>
      <c r="N2" s="69" t="s">
        <v>101</v>
      </c>
      <c r="O2" s="69" t="s">
        <v>102</v>
      </c>
      <c r="P2" s="69" t="s">
        <v>103</v>
      </c>
      <c r="Q2" s="69" t="s">
        <v>104</v>
      </c>
      <c r="R2" s="69" t="s">
        <v>105</v>
      </c>
      <c r="S2" s="69" t="s">
        <v>106</v>
      </c>
      <c r="T2" s="69" t="s">
        <v>107</v>
      </c>
      <c r="U2" s="69" t="s">
        <v>108</v>
      </c>
      <c r="V2" s="69" t="s">
        <v>109</v>
      </c>
      <c r="W2" s="69" t="s">
        <v>110</v>
      </c>
    </row>
    <row r="3" spans="1:23" x14ac:dyDescent="0.2">
      <c r="A3" s="70">
        <v>253</v>
      </c>
      <c r="B3" s="72">
        <v>65.302000000000007</v>
      </c>
      <c r="C3" s="72">
        <v>59.442</v>
      </c>
      <c r="D3" s="72">
        <v>51.906999999999996</v>
      </c>
      <c r="E3" s="72">
        <v>51.906999999999996</v>
      </c>
      <c r="F3" s="72">
        <v>48.14</v>
      </c>
      <c r="G3" s="72">
        <v>49.814</v>
      </c>
      <c r="H3" s="72">
        <v>51.07</v>
      </c>
      <c r="I3" s="72">
        <v>45.209000000000003</v>
      </c>
      <c r="J3" s="72">
        <v>46.046999999999997</v>
      </c>
      <c r="K3" s="72">
        <v>36.418999999999997</v>
      </c>
      <c r="L3" s="72">
        <v>34.326000000000001</v>
      </c>
      <c r="M3" s="72">
        <v>33.488</v>
      </c>
      <c r="N3" s="72">
        <v>33.07</v>
      </c>
      <c r="O3" s="72">
        <v>48.558</v>
      </c>
      <c r="P3" s="72">
        <v>43.116</v>
      </c>
      <c r="Q3" s="72">
        <v>25.116</v>
      </c>
      <c r="R3" s="72">
        <v>12.977</v>
      </c>
      <c r="S3" s="72">
        <v>12.558</v>
      </c>
      <c r="T3" s="72">
        <v>15.907</v>
      </c>
      <c r="U3" s="72">
        <v>26.791</v>
      </c>
      <c r="V3" s="72">
        <v>25.116</v>
      </c>
      <c r="W3" s="72">
        <v>24.279</v>
      </c>
    </row>
    <row r="4" spans="1:23" x14ac:dyDescent="0.2">
      <c r="A4" s="70">
        <v>323</v>
      </c>
      <c r="B4" s="72">
        <v>62.790999999999997</v>
      </c>
      <c r="C4" s="72">
        <v>58.604999999999997</v>
      </c>
      <c r="D4" s="72">
        <v>51.488</v>
      </c>
      <c r="E4" s="72">
        <v>51.488</v>
      </c>
      <c r="F4" s="72">
        <v>48.14</v>
      </c>
      <c r="G4" s="72">
        <v>49.395000000000003</v>
      </c>
      <c r="H4" s="72">
        <v>50.232999999999997</v>
      </c>
      <c r="I4" s="72">
        <v>45.209000000000003</v>
      </c>
      <c r="J4" s="72">
        <v>46.046999999999997</v>
      </c>
      <c r="K4" s="72">
        <v>37.256</v>
      </c>
      <c r="L4" s="72">
        <v>35.162999999999997</v>
      </c>
      <c r="M4" s="72">
        <v>34.744</v>
      </c>
      <c r="N4" s="72">
        <v>33.488</v>
      </c>
      <c r="O4" s="72">
        <v>47.720999999999997</v>
      </c>
      <c r="P4" s="72">
        <v>42.698</v>
      </c>
      <c r="Q4" s="72">
        <v>26.791</v>
      </c>
      <c r="R4" s="72">
        <v>13.814</v>
      </c>
      <c r="S4" s="72">
        <v>13.814</v>
      </c>
      <c r="T4" s="72">
        <v>15.907</v>
      </c>
      <c r="U4" s="72">
        <v>27.209</v>
      </c>
      <c r="V4" s="72">
        <v>25.954000000000001</v>
      </c>
      <c r="W4" s="72">
        <v>25.116</v>
      </c>
    </row>
    <row r="5" spans="1:23" x14ac:dyDescent="0.2">
      <c r="A5" s="70">
        <v>373</v>
      </c>
      <c r="B5" s="72">
        <v>60.279000000000003</v>
      </c>
      <c r="C5" s="72">
        <v>57.767000000000003</v>
      </c>
      <c r="D5" s="72">
        <v>51.07</v>
      </c>
      <c r="E5" s="72">
        <v>50.651000000000003</v>
      </c>
      <c r="F5" s="72">
        <v>48.14</v>
      </c>
      <c r="G5" s="72">
        <v>48.14</v>
      </c>
      <c r="H5" s="72">
        <v>48.976999999999997</v>
      </c>
      <c r="I5" s="72">
        <v>44.790999999999997</v>
      </c>
      <c r="J5" s="72">
        <v>46.465000000000003</v>
      </c>
      <c r="K5" s="72">
        <v>37.673999999999999</v>
      </c>
      <c r="L5" s="72">
        <v>36</v>
      </c>
      <c r="M5" s="72">
        <v>35.581000000000003</v>
      </c>
      <c r="N5" s="72">
        <v>33.906999999999996</v>
      </c>
      <c r="O5" s="72">
        <v>46.465000000000003</v>
      </c>
      <c r="P5" s="72">
        <v>42.698</v>
      </c>
      <c r="Q5" s="72">
        <v>28.465</v>
      </c>
      <c r="R5" s="72">
        <v>14.651</v>
      </c>
      <c r="S5" s="72">
        <v>14.651</v>
      </c>
      <c r="T5" s="72">
        <v>16.326000000000001</v>
      </c>
      <c r="U5" s="72">
        <v>27.628</v>
      </c>
      <c r="V5" s="72">
        <v>26.372</v>
      </c>
      <c r="W5" s="72">
        <v>25.954000000000001</v>
      </c>
    </row>
    <row r="6" spans="1:23" x14ac:dyDescent="0.2">
      <c r="A6" s="70">
        <v>423</v>
      </c>
      <c r="B6" s="72">
        <v>57.767000000000003</v>
      </c>
      <c r="C6" s="72">
        <v>55.256</v>
      </c>
      <c r="D6" s="72">
        <v>49.814</v>
      </c>
      <c r="E6" s="72">
        <v>49.814</v>
      </c>
      <c r="F6" s="72">
        <v>47.720999999999997</v>
      </c>
      <c r="G6" s="72">
        <v>46.884</v>
      </c>
      <c r="H6" s="72">
        <v>47.720999999999997</v>
      </c>
      <c r="I6" s="72">
        <v>44.790999999999997</v>
      </c>
      <c r="J6" s="72">
        <v>45.628</v>
      </c>
      <c r="K6" s="72">
        <v>38.093000000000004</v>
      </c>
      <c r="L6" s="72">
        <v>36.418999999999997</v>
      </c>
      <c r="M6" s="72">
        <v>36</v>
      </c>
      <c r="N6" s="72">
        <v>34.744</v>
      </c>
      <c r="O6" s="72">
        <v>45.209000000000003</v>
      </c>
      <c r="P6" s="72">
        <v>42.279000000000003</v>
      </c>
      <c r="Q6" s="72">
        <v>29.302</v>
      </c>
      <c r="R6" s="72">
        <v>15.488</v>
      </c>
      <c r="S6" s="72">
        <v>15.488</v>
      </c>
      <c r="T6" s="72">
        <v>16.744</v>
      </c>
      <c r="U6" s="72">
        <v>27.628</v>
      </c>
      <c r="V6" s="72">
        <v>26.791</v>
      </c>
      <c r="W6" s="72">
        <v>26.791</v>
      </c>
    </row>
    <row r="7" spans="1:23" x14ac:dyDescent="0.2">
      <c r="A7" s="70">
        <v>473</v>
      </c>
      <c r="B7" s="72">
        <v>55.673999999999999</v>
      </c>
      <c r="C7" s="72">
        <v>53.581000000000003</v>
      </c>
      <c r="D7" s="72">
        <v>48.558</v>
      </c>
      <c r="E7" s="72">
        <v>48.14</v>
      </c>
      <c r="F7" s="72">
        <v>46.465000000000003</v>
      </c>
      <c r="G7" s="72">
        <v>45.209000000000003</v>
      </c>
      <c r="H7" s="72">
        <v>46.046999999999997</v>
      </c>
      <c r="I7" s="72">
        <v>42.698</v>
      </c>
      <c r="J7" s="72">
        <v>44.790999999999997</v>
      </c>
      <c r="K7" s="72">
        <v>38.512</v>
      </c>
      <c r="L7" s="72">
        <v>36.837000000000003</v>
      </c>
      <c r="M7" s="72">
        <v>36.418999999999997</v>
      </c>
      <c r="N7" s="72">
        <v>35.162999999999997</v>
      </c>
      <c r="O7" s="72">
        <v>44.372</v>
      </c>
      <c r="P7" s="72">
        <v>41.860999999999997</v>
      </c>
      <c r="Q7" s="72">
        <v>30.14</v>
      </c>
      <c r="R7" s="72">
        <v>16.326000000000001</v>
      </c>
      <c r="S7" s="72">
        <v>16.326000000000001</v>
      </c>
      <c r="T7" s="72">
        <v>17.163</v>
      </c>
      <c r="U7" s="72">
        <v>27.628</v>
      </c>
      <c r="V7" s="72">
        <v>27.209</v>
      </c>
      <c r="W7" s="72">
        <v>27.209</v>
      </c>
    </row>
    <row r="8" spans="1:23" x14ac:dyDescent="0.2">
      <c r="A8" s="70">
        <v>523</v>
      </c>
      <c r="B8" s="72">
        <v>53.162999999999997</v>
      </c>
      <c r="C8" s="72">
        <v>51.488</v>
      </c>
      <c r="D8" s="72">
        <v>46.465000000000003</v>
      </c>
      <c r="E8" s="72">
        <v>46.884</v>
      </c>
      <c r="F8" s="72">
        <v>45.209000000000003</v>
      </c>
      <c r="G8" s="72">
        <v>43.116</v>
      </c>
      <c r="H8" s="72">
        <v>43.954000000000001</v>
      </c>
      <c r="I8" s="72">
        <v>41.023000000000003</v>
      </c>
      <c r="J8" s="72">
        <v>43.954000000000001</v>
      </c>
      <c r="K8" s="72">
        <v>39.348999999999997</v>
      </c>
      <c r="L8" s="72">
        <v>36.837000000000003</v>
      </c>
      <c r="M8" s="72">
        <v>36.418999999999997</v>
      </c>
      <c r="N8" s="72">
        <v>35.581000000000003</v>
      </c>
      <c r="O8" s="72">
        <v>43.534999999999997</v>
      </c>
      <c r="P8" s="72">
        <v>41.442</v>
      </c>
      <c r="Q8" s="72">
        <v>30.977</v>
      </c>
      <c r="R8" s="72">
        <v>17.163</v>
      </c>
      <c r="S8" s="72">
        <v>16.744</v>
      </c>
      <c r="T8" s="72">
        <v>17.581</v>
      </c>
      <c r="U8" s="72">
        <v>28.047000000000001</v>
      </c>
      <c r="V8" s="72">
        <v>27.209</v>
      </c>
      <c r="W8" s="72">
        <v>27.628</v>
      </c>
    </row>
    <row r="9" spans="1:23" x14ac:dyDescent="0.2">
      <c r="A9" s="70">
        <v>573</v>
      </c>
      <c r="B9" s="72">
        <v>51.07</v>
      </c>
      <c r="C9" s="72">
        <v>49.395000000000003</v>
      </c>
      <c r="D9" s="72">
        <v>44.372</v>
      </c>
      <c r="E9" s="72">
        <v>45.628</v>
      </c>
      <c r="F9" s="72">
        <v>43.954000000000001</v>
      </c>
      <c r="G9" s="72">
        <v>41.442</v>
      </c>
      <c r="H9" s="72">
        <v>41.860999999999997</v>
      </c>
      <c r="I9" s="72">
        <v>40.186</v>
      </c>
      <c r="J9" s="72">
        <v>43.116</v>
      </c>
      <c r="K9" s="72">
        <v>38.093000000000004</v>
      </c>
      <c r="L9" s="72">
        <v>36.837000000000003</v>
      </c>
      <c r="M9" s="72">
        <v>36.418999999999997</v>
      </c>
      <c r="N9" s="72">
        <v>35.581000000000003</v>
      </c>
      <c r="O9" s="72">
        <v>42.279000000000003</v>
      </c>
      <c r="P9" s="72">
        <v>40.604999999999997</v>
      </c>
      <c r="Q9" s="72">
        <v>30.977</v>
      </c>
      <c r="R9" s="72">
        <v>18</v>
      </c>
      <c r="S9" s="72">
        <v>17.581</v>
      </c>
      <c r="T9" s="72">
        <v>18.419</v>
      </c>
      <c r="U9" s="72">
        <v>28.047000000000001</v>
      </c>
      <c r="V9" s="72">
        <v>27.628</v>
      </c>
      <c r="W9" s="72">
        <v>28.047000000000001</v>
      </c>
    </row>
    <row r="10" spans="1:23" x14ac:dyDescent="0.2">
      <c r="A10" s="70">
        <v>623</v>
      </c>
      <c r="B10" s="72">
        <v>48.558</v>
      </c>
      <c r="C10" s="72">
        <v>47.720999999999997</v>
      </c>
      <c r="D10" s="72">
        <v>43.534999999999997</v>
      </c>
      <c r="E10" s="72">
        <v>44.372</v>
      </c>
      <c r="F10" s="72">
        <v>43.116</v>
      </c>
      <c r="G10" s="72">
        <v>40.186</v>
      </c>
      <c r="H10" s="72">
        <v>40.186</v>
      </c>
      <c r="I10" s="72">
        <v>38.512</v>
      </c>
      <c r="J10" s="72">
        <v>41.442</v>
      </c>
      <c r="K10" s="72">
        <v>37.256</v>
      </c>
      <c r="L10" s="72">
        <v>36.837000000000003</v>
      </c>
      <c r="M10" s="72">
        <v>36.418999999999997</v>
      </c>
      <c r="N10" s="72">
        <v>35.581000000000003</v>
      </c>
      <c r="O10" s="72">
        <v>40.604999999999997</v>
      </c>
      <c r="P10" s="72">
        <v>39.767000000000003</v>
      </c>
      <c r="Q10" s="72">
        <v>30.977</v>
      </c>
      <c r="R10" s="72">
        <v>18.837</v>
      </c>
      <c r="S10" s="72">
        <v>18.419</v>
      </c>
      <c r="T10" s="72">
        <v>19.256</v>
      </c>
      <c r="U10" s="72">
        <v>28.047000000000001</v>
      </c>
      <c r="V10" s="72">
        <v>27.628</v>
      </c>
      <c r="W10" s="72">
        <v>28.465</v>
      </c>
    </row>
    <row r="11" spans="1:23" x14ac:dyDescent="0.2">
      <c r="A11" s="70">
        <v>673</v>
      </c>
      <c r="B11" s="72">
        <v>46.465000000000003</v>
      </c>
      <c r="C11" s="72">
        <v>44.790999999999997</v>
      </c>
      <c r="D11" s="72">
        <v>42.698</v>
      </c>
      <c r="E11" s="72">
        <v>41.860999999999997</v>
      </c>
      <c r="F11" s="72">
        <v>41.023000000000003</v>
      </c>
      <c r="G11" s="72">
        <v>38.093000000000004</v>
      </c>
      <c r="H11" s="72">
        <v>38.512</v>
      </c>
      <c r="I11" s="72">
        <v>37.256</v>
      </c>
      <c r="J11" s="72">
        <v>40.186</v>
      </c>
      <c r="K11" s="72">
        <v>36.418999999999997</v>
      </c>
      <c r="L11" s="72">
        <v>36.418999999999997</v>
      </c>
      <c r="M11" s="72">
        <v>36.418999999999997</v>
      </c>
      <c r="N11" s="72">
        <v>35.581000000000003</v>
      </c>
      <c r="O11" s="72">
        <v>38.512</v>
      </c>
      <c r="P11" s="72">
        <v>38.93</v>
      </c>
      <c r="Q11" s="72">
        <v>30.977</v>
      </c>
      <c r="R11" s="72">
        <v>19.256</v>
      </c>
      <c r="S11" s="72">
        <v>18.837</v>
      </c>
      <c r="T11" s="72">
        <v>20.093</v>
      </c>
      <c r="U11" s="72">
        <v>27.628</v>
      </c>
      <c r="V11" s="72">
        <v>27.628</v>
      </c>
      <c r="W11" s="72">
        <v>28.465</v>
      </c>
    </row>
    <row r="12" spans="1:23" x14ac:dyDescent="0.2">
      <c r="A12" s="70">
        <v>723</v>
      </c>
      <c r="B12" s="72">
        <v>43.534999999999997</v>
      </c>
      <c r="C12" s="72">
        <v>42.279000000000003</v>
      </c>
      <c r="D12" s="72">
        <v>41.023000000000003</v>
      </c>
      <c r="E12" s="72">
        <v>40.186</v>
      </c>
      <c r="F12" s="72">
        <v>39.767000000000003</v>
      </c>
      <c r="G12" s="72">
        <v>36.418999999999997</v>
      </c>
      <c r="H12" s="72">
        <v>36.837000000000003</v>
      </c>
      <c r="I12" s="72">
        <v>36</v>
      </c>
      <c r="J12" s="72">
        <v>38.512</v>
      </c>
      <c r="K12" s="72">
        <v>35.581000000000003</v>
      </c>
      <c r="L12" s="72">
        <v>35.581000000000003</v>
      </c>
      <c r="M12" s="72">
        <v>35.581000000000003</v>
      </c>
      <c r="N12" s="72">
        <v>34.744</v>
      </c>
      <c r="O12" s="72">
        <v>37.256</v>
      </c>
      <c r="P12" s="72">
        <v>37.673999999999999</v>
      </c>
      <c r="Q12" s="72">
        <v>30.977</v>
      </c>
      <c r="R12" s="72">
        <v>19.673999999999999</v>
      </c>
      <c r="S12" s="72">
        <v>19.673999999999999</v>
      </c>
      <c r="T12" s="72">
        <v>20.93</v>
      </c>
      <c r="U12" s="72">
        <v>27.628</v>
      </c>
      <c r="V12" s="72">
        <v>27.628</v>
      </c>
      <c r="W12" s="72">
        <v>28.465</v>
      </c>
    </row>
    <row r="13" spans="1:23" x14ac:dyDescent="0.2">
      <c r="A13" s="70">
        <v>773</v>
      </c>
      <c r="B13" s="72">
        <v>41.023000000000003</v>
      </c>
      <c r="C13" s="72">
        <v>40.186</v>
      </c>
      <c r="D13" s="72">
        <v>39.348999999999997</v>
      </c>
      <c r="E13" s="72">
        <v>38.093000000000004</v>
      </c>
      <c r="F13" s="72">
        <v>38.512</v>
      </c>
      <c r="G13" s="72">
        <v>35.162999999999997</v>
      </c>
      <c r="H13" s="72">
        <v>35.581000000000003</v>
      </c>
      <c r="I13" s="72">
        <v>34.744</v>
      </c>
      <c r="J13" s="72">
        <v>37.256</v>
      </c>
      <c r="K13" s="72">
        <v>34.326000000000001</v>
      </c>
      <c r="L13" s="72">
        <v>35.162999999999997</v>
      </c>
      <c r="M13" s="72">
        <v>34.326000000000001</v>
      </c>
      <c r="N13" s="72">
        <v>33.488</v>
      </c>
      <c r="O13" s="72">
        <v>35.581000000000003</v>
      </c>
      <c r="P13" s="72">
        <v>36.418999999999997</v>
      </c>
      <c r="Q13" s="72">
        <v>30.977</v>
      </c>
      <c r="R13" s="72">
        <v>20.512</v>
      </c>
      <c r="S13" s="72">
        <v>20.512</v>
      </c>
      <c r="T13" s="72">
        <v>21.766999999999999</v>
      </c>
      <c r="U13" s="72">
        <v>27.209</v>
      </c>
      <c r="V13" s="72">
        <v>27.209</v>
      </c>
      <c r="W13" s="72">
        <v>28.047000000000001</v>
      </c>
    </row>
    <row r="14" spans="1:23" x14ac:dyDescent="0.2">
      <c r="A14" s="70">
        <v>823</v>
      </c>
      <c r="B14" s="72">
        <v>39.348999999999997</v>
      </c>
      <c r="C14" s="72">
        <v>38.093000000000004</v>
      </c>
      <c r="D14" s="72">
        <v>37.673999999999999</v>
      </c>
      <c r="E14" s="72">
        <v>36</v>
      </c>
      <c r="F14" s="72">
        <v>36.837000000000003</v>
      </c>
      <c r="G14" s="72">
        <v>33.906999999999996</v>
      </c>
      <c r="H14" s="72">
        <v>34.326000000000001</v>
      </c>
      <c r="I14" s="72">
        <v>33.488</v>
      </c>
      <c r="J14" s="72">
        <v>36</v>
      </c>
      <c r="K14" s="72">
        <v>33.07</v>
      </c>
      <c r="L14" s="72">
        <v>34.326000000000001</v>
      </c>
      <c r="M14" s="72">
        <v>33.07</v>
      </c>
      <c r="N14" s="72">
        <v>32.232999999999997</v>
      </c>
      <c r="O14" s="72">
        <v>33.906999999999996</v>
      </c>
      <c r="P14" s="72">
        <v>35.162999999999997</v>
      </c>
      <c r="Q14" s="72">
        <v>30.558</v>
      </c>
      <c r="R14" s="72">
        <v>21.349</v>
      </c>
      <c r="S14" s="72">
        <v>21.349</v>
      </c>
      <c r="T14" s="72">
        <v>23.023</v>
      </c>
      <c r="U14" s="72">
        <v>26.791</v>
      </c>
      <c r="V14" s="72">
        <v>27.209</v>
      </c>
      <c r="W14" s="72">
        <v>27.628</v>
      </c>
    </row>
    <row r="15" spans="1:23" x14ac:dyDescent="0.2">
      <c r="A15" s="70">
        <v>873</v>
      </c>
      <c r="B15" s="72">
        <v>37.673999999999999</v>
      </c>
      <c r="C15" s="72">
        <v>36</v>
      </c>
      <c r="D15" s="72">
        <v>35.581000000000003</v>
      </c>
      <c r="E15" s="72">
        <v>33.906999999999996</v>
      </c>
      <c r="F15" s="72">
        <v>36</v>
      </c>
      <c r="G15" s="72">
        <v>32.651000000000003</v>
      </c>
      <c r="H15" s="72">
        <v>33.07</v>
      </c>
      <c r="I15" s="72">
        <v>31.814</v>
      </c>
      <c r="J15" s="72">
        <v>34.326000000000001</v>
      </c>
      <c r="K15" s="72">
        <v>31.814</v>
      </c>
      <c r="L15" s="72">
        <v>33.488</v>
      </c>
      <c r="M15" s="72">
        <v>31.814</v>
      </c>
      <c r="N15" s="72">
        <v>30.558</v>
      </c>
      <c r="O15" s="72">
        <v>31.814</v>
      </c>
      <c r="P15" s="72">
        <v>33.906999999999996</v>
      </c>
      <c r="Q15" s="72">
        <v>30.14</v>
      </c>
      <c r="R15" s="72">
        <v>21.766999999999999</v>
      </c>
      <c r="S15" s="72">
        <v>22.186</v>
      </c>
      <c r="T15" s="72">
        <v>23.86</v>
      </c>
      <c r="U15" s="72">
        <v>26.372</v>
      </c>
      <c r="V15" s="72">
        <v>26.791</v>
      </c>
      <c r="W15" s="72">
        <v>27.209</v>
      </c>
    </row>
    <row r="16" spans="1:23" x14ac:dyDescent="0.2">
      <c r="A16" s="70">
        <v>923</v>
      </c>
      <c r="B16" s="72">
        <v>36</v>
      </c>
      <c r="C16" s="72">
        <v>33.906999999999996</v>
      </c>
      <c r="D16" s="72">
        <v>33.906999999999996</v>
      </c>
      <c r="E16" s="72">
        <v>32.232999999999997</v>
      </c>
      <c r="F16" s="72">
        <v>33.488</v>
      </c>
      <c r="G16" s="72">
        <v>31.395</v>
      </c>
      <c r="H16" s="72">
        <v>31.814</v>
      </c>
      <c r="I16" s="72">
        <v>30.14</v>
      </c>
      <c r="J16" s="72">
        <v>32.651000000000003</v>
      </c>
      <c r="K16" s="72">
        <v>30.14</v>
      </c>
      <c r="L16" s="72">
        <v>31.814</v>
      </c>
      <c r="M16" s="72">
        <v>30.14</v>
      </c>
      <c r="N16" s="72">
        <v>29.302</v>
      </c>
      <c r="O16" s="72">
        <v>30.14</v>
      </c>
      <c r="P16" s="72">
        <v>32.651000000000003</v>
      </c>
      <c r="Q16" s="72">
        <v>29.302</v>
      </c>
      <c r="R16" s="72">
        <v>22.186</v>
      </c>
      <c r="S16" s="72">
        <v>22.605</v>
      </c>
      <c r="T16" s="72">
        <v>24.698</v>
      </c>
      <c r="U16" s="72">
        <v>25.954000000000001</v>
      </c>
      <c r="V16" s="72">
        <v>25.954000000000001</v>
      </c>
      <c r="W16" s="72">
        <v>27.209</v>
      </c>
    </row>
    <row r="17" spans="1:23" x14ac:dyDescent="0.2">
      <c r="A17" s="70">
        <v>973</v>
      </c>
      <c r="B17" s="72">
        <v>33.906999999999996</v>
      </c>
      <c r="C17" s="72">
        <v>31.814</v>
      </c>
      <c r="D17" s="72">
        <v>31.814</v>
      </c>
      <c r="E17" s="72">
        <v>30.14</v>
      </c>
      <c r="F17" s="72">
        <v>31.395</v>
      </c>
      <c r="G17" s="72">
        <v>30.14</v>
      </c>
      <c r="H17" s="72">
        <v>30.558</v>
      </c>
      <c r="I17" s="72">
        <v>28.465</v>
      </c>
      <c r="J17" s="72">
        <v>31.395</v>
      </c>
      <c r="K17" s="72">
        <v>28.465</v>
      </c>
      <c r="L17" s="72">
        <v>29.302</v>
      </c>
      <c r="M17" s="72">
        <v>28.465</v>
      </c>
      <c r="N17" s="72">
        <v>28.047000000000001</v>
      </c>
      <c r="O17" s="72">
        <v>28.884</v>
      </c>
      <c r="P17" s="72">
        <v>30.977</v>
      </c>
      <c r="Q17" s="72">
        <v>28.047000000000001</v>
      </c>
      <c r="R17" s="72">
        <v>22.605</v>
      </c>
      <c r="S17" s="72">
        <v>23.442</v>
      </c>
      <c r="T17" s="72">
        <v>25.535</v>
      </c>
      <c r="U17" s="72">
        <v>25.535</v>
      </c>
      <c r="V17" s="72">
        <v>25.535</v>
      </c>
      <c r="W17" s="72">
        <v>26.791</v>
      </c>
    </row>
    <row r="18" spans="1:23" x14ac:dyDescent="0.2">
      <c r="A18" s="70">
        <v>1023</v>
      </c>
      <c r="B18" s="72">
        <v>31.814</v>
      </c>
      <c r="C18" s="72">
        <v>29.721</v>
      </c>
      <c r="D18" s="72">
        <v>28.465</v>
      </c>
      <c r="E18" s="72">
        <v>27.209</v>
      </c>
      <c r="F18" s="72">
        <v>28.465</v>
      </c>
      <c r="G18" s="72">
        <v>26.791</v>
      </c>
      <c r="H18" s="72">
        <v>27.209</v>
      </c>
      <c r="I18" s="72">
        <v>27.209</v>
      </c>
      <c r="J18" s="72">
        <v>30.558</v>
      </c>
      <c r="K18" s="72">
        <v>25.116</v>
      </c>
      <c r="L18" s="72">
        <v>26.791</v>
      </c>
      <c r="M18" s="72">
        <v>26.791</v>
      </c>
      <c r="N18" s="72">
        <v>27.209</v>
      </c>
      <c r="O18" s="72">
        <v>27.209</v>
      </c>
      <c r="P18" s="72">
        <v>28.465</v>
      </c>
      <c r="Q18" s="72">
        <v>26.372</v>
      </c>
      <c r="R18" s="72">
        <v>23.023</v>
      </c>
      <c r="S18" s="72">
        <v>24.279</v>
      </c>
      <c r="T18" s="72">
        <v>26.372</v>
      </c>
      <c r="U18" s="72">
        <v>25.116</v>
      </c>
      <c r="V18" s="72">
        <v>25.116</v>
      </c>
      <c r="W18" s="72">
        <v>26.372</v>
      </c>
    </row>
    <row r="19" spans="1:23" x14ac:dyDescent="0.2">
      <c r="A19" s="70">
        <v>1073</v>
      </c>
      <c r="B19" s="72">
        <v>30.14</v>
      </c>
      <c r="C19" s="72">
        <v>28.465</v>
      </c>
      <c r="D19" s="72">
        <v>25.954000000000001</v>
      </c>
      <c r="E19" s="72">
        <v>24.698</v>
      </c>
      <c r="F19" s="72">
        <v>26.791</v>
      </c>
      <c r="G19" s="72">
        <v>24.279</v>
      </c>
      <c r="H19" s="72">
        <v>24.279</v>
      </c>
      <c r="I19" s="72">
        <v>23.86</v>
      </c>
      <c r="J19" s="72">
        <v>29.721</v>
      </c>
      <c r="K19" s="72">
        <v>25.116</v>
      </c>
      <c r="L19" s="72">
        <v>25.954000000000001</v>
      </c>
      <c r="M19" s="72">
        <v>25.954000000000001</v>
      </c>
      <c r="N19" s="72">
        <v>26.791</v>
      </c>
      <c r="O19" s="72">
        <v>25.954000000000001</v>
      </c>
      <c r="P19" s="72">
        <v>26.372</v>
      </c>
      <c r="Q19" s="72">
        <v>25.116</v>
      </c>
      <c r="R19" s="72">
        <v>23.442</v>
      </c>
      <c r="S19" s="72">
        <v>25.116</v>
      </c>
      <c r="T19" s="72">
        <v>26.791</v>
      </c>
      <c r="U19" s="72">
        <v>25.116</v>
      </c>
      <c r="V19" s="72">
        <v>25.116</v>
      </c>
      <c r="W19" s="72">
        <v>25.954000000000001</v>
      </c>
    </row>
    <row r="20" spans="1:23" x14ac:dyDescent="0.2">
      <c r="A20" s="70">
        <v>1123</v>
      </c>
      <c r="B20" s="72">
        <v>27.628</v>
      </c>
      <c r="C20" s="72">
        <v>27.209</v>
      </c>
      <c r="D20" s="72">
        <v>25.954000000000001</v>
      </c>
      <c r="E20" s="72">
        <v>24.698</v>
      </c>
      <c r="F20" s="72">
        <v>25.535</v>
      </c>
      <c r="G20" s="72">
        <v>24.279</v>
      </c>
      <c r="H20" s="72">
        <v>24.279</v>
      </c>
      <c r="I20" s="72">
        <v>23.86</v>
      </c>
      <c r="J20" s="72">
        <v>26.372</v>
      </c>
      <c r="K20" s="72">
        <v>25.535</v>
      </c>
      <c r="L20" s="72">
        <v>25.954000000000001</v>
      </c>
      <c r="M20" s="72">
        <v>25.954000000000001</v>
      </c>
      <c r="N20" s="72">
        <v>27.209</v>
      </c>
      <c r="O20" s="72">
        <v>25.954000000000001</v>
      </c>
      <c r="P20" s="72">
        <v>26.372</v>
      </c>
      <c r="Q20" s="72">
        <v>25.116</v>
      </c>
      <c r="R20" s="72">
        <v>23.86</v>
      </c>
      <c r="S20" s="72">
        <v>25.954000000000001</v>
      </c>
      <c r="T20" s="72">
        <v>26.372</v>
      </c>
      <c r="U20" s="72">
        <v>25.954000000000001</v>
      </c>
      <c r="V20" s="72">
        <v>25.954000000000001</v>
      </c>
      <c r="W20" s="72">
        <v>26.372</v>
      </c>
    </row>
    <row r="21" spans="1:23" x14ac:dyDescent="0.2">
      <c r="A21" s="70">
        <v>1173</v>
      </c>
      <c r="B21" s="72">
        <v>27.209</v>
      </c>
      <c r="C21" s="72">
        <v>26.791</v>
      </c>
      <c r="D21" s="72">
        <v>26.372</v>
      </c>
      <c r="E21" s="72">
        <v>25.535</v>
      </c>
      <c r="F21" s="72">
        <v>25.954000000000001</v>
      </c>
      <c r="G21" s="72">
        <v>25.535</v>
      </c>
      <c r="H21" s="72">
        <v>25.116</v>
      </c>
      <c r="I21" s="72">
        <v>24.698</v>
      </c>
      <c r="J21" s="72">
        <v>26.791</v>
      </c>
      <c r="K21" s="72">
        <v>26.372</v>
      </c>
      <c r="L21" s="72">
        <v>26.372</v>
      </c>
      <c r="M21" s="72">
        <v>26.372</v>
      </c>
      <c r="N21" s="72">
        <v>27.628</v>
      </c>
      <c r="O21" s="72">
        <v>26.791</v>
      </c>
      <c r="P21" s="72">
        <v>27.209</v>
      </c>
      <c r="Q21" s="72">
        <v>25.535</v>
      </c>
      <c r="R21" s="72">
        <v>24.279</v>
      </c>
      <c r="S21" s="72">
        <v>26.372</v>
      </c>
      <c r="T21" s="72">
        <v>26.791</v>
      </c>
      <c r="U21" s="72">
        <v>26.791</v>
      </c>
      <c r="V21" s="72">
        <v>26.791</v>
      </c>
      <c r="W21" s="72">
        <v>26.791</v>
      </c>
    </row>
    <row r="22" spans="1:23" x14ac:dyDescent="0.2">
      <c r="A22" s="70">
        <v>1223</v>
      </c>
      <c r="B22" s="72">
        <v>27.209</v>
      </c>
      <c r="C22" s="72">
        <v>27.209</v>
      </c>
      <c r="D22" s="72">
        <v>26.791</v>
      </c>
      <c r="E22" s="72">
        <v>25.954000000000001</v>
      </c>
      <c r="F22" s="72">
        <v>25.954000000000001</v>
      </c>
      <c r="G22" s="72">
        <v>26.372</v>
      </c>
      <c r="H22" s="72">
        <v>25.954000000000001</v>
      </c>
      <c r="I22" s="72">
        <v>25.535</v>
      </c>
      <c r="J22" s="72">
        <v>26.791</v>
      </c>
      <c r="K22" s="72">
        <v>26.791</v>
      </c>
      <c r="L22" s="72">
        <v>27.209</v>
      </c>
      <c r="M22" s="72">
        <v>27.209</v>
      </c>
      <c r="N22" s="72">
        <v>28.047000000000001</v>
      </c>
      <c r="O22" s="72">
        <v>27.628</v>
      </c>
      <c r="P22" s="72">
        <v>27.628</v>
      </c>
      <c r="Q22" s="72">
        <v>25.954000000000001</v>
      </c>
      <c r="R22" s="72">
        <v>24.698</v>
      </c>
      <c r="S22" s="72">
        <v>27.209</v>
      </c>
      <c r="T22" s="72">
        <v>27.628</v>
      </c>
      <c r="U22" s="72">
        <v>26.791</v>
      </c>
      <c r="V22" s="72">
        <v>27.209</v>
      </c>
      <c r="W22" s="72">
        <v>27.209</v>
      </c>
    </row>
    <row r="23" spans="1:23" x14ac:dyDescent="0.2">
      <c r="A23" s="70">
        <v>1273</v>
      </c>
      <c r="B23" s="72">
        <v>27.628</v>
      </c>
      <c r="C23" s="72">
        <v>27.628</v>
      </c>
      <c r="D23" s="72">
        <v>27.209</v>
      </c>
      <c r="E23" s="72">
        <v>26.791</v>
      </c>
      <c r="F23" s="72">
        <v>26.791</v>
      </c>
      <c r="G23" s="72">
        <v>26.791</v>
      </c>
      <c r="H23" s="72">
        <v>26.791</v>
      </c>
      <c r="I23" s="72">
        <v>25.954000000000001</v>
      </c>
      <c r="J23" s="72">
        <v>27.209</v>
      </c>
      <c r="K23" s="72">
        <v>27.628</v>
      </c>
      <c r="L23" s="72">
        <v>27.628</v>
      </c>
      <c r="M23" s="72">
        <v>27.628</v>
      </c>
      <c r="N23" s="72">
        <v>28.465</v>
      </c>
      <c r="O23" s="72">
        <v>28.047000000000001</v>
      </c>
      <c r="P23" s="72">
        <v>28.047000000000001</v>
      </c>
      <c r="Q23" s="72">
        <v>26.372</v>
      </c>
      <c r="R23" s="72">
        <v>25.535</v>
      </c>
      <c r="S23" s="72">
        <v>27.628</v>
      </c>
      <c r="T23" s="72">
        <v>28.047000000000001</v>
      </c>
      <c r="U23" s="72">
        <v>27.628</v>
      </c>
      <c r="V23" s="72">
        <v>27.628</v>
      </c>
      <c r="W23" s="72">
        <v>27.628</v>
      </c>
    </row>
    <row r="24" spans="1:23" x14ac:dyDescent="0.2">
      <c r="A24" s="70">
        <v>1323</v>
      </c>
      <c r="B24" s="72">
        <v>28.047000000000001</v>
      </c>
      <c r="C24" s="72">
        <v>28.047000000000001</v>
      </c>
      <c r="D24" s="72">
        <v>28.047000000000001</v>
      </c>
      <c r="E24" s="72">
        <v>27.209</v>
      </c>
      <c r="F24" s="72">
        <v>27.209</v>
      </c>
      <c r="G24" s="72">
        <v>27.628</v>
      </c>
      <c r="H24" s="72">
        <v>27.628</v>
      </c>
      <c r="I24" s="72">
        <v>26.791</v>
      </c>
      <c r="J24" s="72">
        <v>28.047000000000001</v>
      </c>
      <c r="K24" s="72">
        <v>28.047000000000001</v>
      </c>
      <c r="L24" s="72">
        <v>28.047000000000001</v>
      </c>
      <c r="M24" s="72">
        <v>28.047000000000001</v>
      </c>
      <c r="N24" s="72">
        <v>28.884</v>
      </c>
      <c r="O24" s="72">
        <v>28.465</v>
      </c>
      <c r="P24" s="72">
        <v>28.884</v>
      </c>
      <c r="Q24" s="72">
        <v>27.209</v>
      </c>
      <c r="R24" s="72">
        <v>25.954000000000001</v>
      </c>
      <c r="S24" s="72">
        <v>28.047000000000001</v>
      </c>
      <c r="T24" s="72">
        <v>28.465</v>
      </c>
      <c r="U24" s="72">
        <v>28.465</v>
      </c>
      <c r="V24" s="72">
        <v>28.465</v>
      </c>
      <c r="W24" s="72">
        <v>28.047000000000001</v>
      </c>
    </row>
    <row r="25" spans="1:23" x14ac:dyDescent="0.2">
      <c r="A25" s="70">
        <v>1373</v>
      </c>
      <c r="B25" s="72">
        <v>28.465</v>
      </c>
      <c r="C25" s="72">
        <v>28.465</v>
      </c>
      <c r="D25" s="72">
        <v>28.465</v>
      </c>
      <c r="E25" s="72">
        <v>28.047000000000001</v>
      </c>
      <c r="F25" s="72">
        <v>28.047000000000001</v>
      </c>
      <c r="G25" s="72">
        <v>28.465</v>
      </c>
      <c r="H25" s="72">
        <v>28.465</v>
      </c>
      <c r="I25" s="72">
        <v>27.209</v>
      </c>
      <c r="J25" s="72">
        <v>28.465</v>
      </c>
      <c r="K25" s="72">
        <v>28.465</v>
      </c>
      <c r="L25" s="72">
        <v>28.884</v>
      </c>
      <c r="M25" s="72">
        <v>28.884</v>
      </c>
      <c r="N25" s="72">
        <v>29.302</v>
      </c>
      <c r="O25" s="72">
        <v>28.884</v>
      </c>
      <c r="P25" s="72">
        <v>29.302</v>
      </c>
      <c r="Q25" s="72">
        <v>27.628</v>
      </c>
      <c r="R25" s="72">
        <v>26.791</v>
      </c>
      <c r="S25" s="72">
        <v>28.465</v>
      </c>
      <c r="T25" s="72">
        <v>28.884</v>
      </c>
      <c r="U25" s="72">
        <v>28.884</v>
      </c>
      <c r="V25" s="72">
        <v>28.884</v>
      </c>
      <c r="W25" s="72">
        <v>28.465</v>
      </c>
    </row>
    <row r="26" spans="1:23" x14ac:dyDescent="0.2">
      <c r="A26" s="70">
        <v>1423</v>
      </c>
      <c r="B26" s="72">
        <v>29.302</v>
      </c>
      <c r="C26" s="72">
        <v>29.302</v>
      </c>
      <c r="D26" s="72">
        <v>29.302</v>
      </c>
      <c r="E26" s="72">
        <v>28.884</v>
      </c>
      <c r="F26" s="72">
        <v>28.884</v>
      </c>
      <c r="G26" s="72">
        <v>29.302</v>
      </c>
      <c r="H26" s="72">
        <v>28.884</v>
      </c>
      <c r="I26" s="72">
        <v>28.047000000000001</v>
      </c>
      <c r="J26" s="72">
        <v>29.302</v>
      </c>
      <c r="K26" s="72">
        <v>29.302</v>
      </c>
      <c r="L26" s="72">
        <v>29.302</v>
      </c>
      <c r="M26" s="72">
        <v>29.302</v>
      </c>
      <c r="N26" s="72">
        <v>29.721</v>
      </c>
      <c r="O26" s="72">
        <v>29.721</v>
      </c>
      <c r="P26" s="72">
        <v>29.721</v>
      </c>
      <c r="Q26" s="72">
        <v>28.465</v>
      </c>
      <c r="R26" s="72">
        <v>27.209</v>
      </c>
      <c r="S26" s="72">
        <v>28.884</v>
      </c>
      <c r="T26" s="72">
        <v>29.302</v>
      </c>
      <c r="U26" s="72">
        <v>29.721</v>
      </c>
      <c r="V26" s="72">
        <v>29.721</v>
      </c>
      <c r="W26" s="72">
        <v>28.884</v>
      </c>
    </row>
    <row r="27" spans="1:23" x14ac:dyDescent="0.2">
      <c r="A27" s="70">
        <v>1473</v>
      </c>
      <c r="B27" s="72">
        <v>29.721</v>
      </c>
      <c r="C27" s="72">
        <v>29.721</v>
      </c>
      <c r="D27" s="72">
        <v>29.721</v>
      </c>
      <c r="E27" s="72">
        <v>29.721</v>
      </c>
      <c r="F27" s="72">
        <v>29.721</v>
      </c>
      <c r="G27" s="72">
        <v>30.14</v>
      </c>
      <c r="H27" s="72">
        <v>29.721</v>
      </c>
      <c r="I27" s="72">
        <v>28.465</v>
      </c>
      <c r="J27" s="72">
        <v>29.721</v>
      </c>
      <c r="K27" s="72">
        <v>30.14</v>
      </c>
      <c r="L27" s="72">
        <v>29.709</v>
      </c>
      <c r="M27" s="72">
        <v>29.721</v>
      </c>
      <c r="N27" s="72">
        <v>30.14</v>
      </c>
      <c r="O27" s="72">
        <v>30.14</v>
      </c>
      <c r="P27" s="72">
        <v>30.14</v>
      </c>
      <c r="Q27" s="72">
        <v>29.302</v>
      </c>
      <c r="R27" s="72">
        <v>28.047000000000001</v>
      </c>
      <c r="S27" s="72">
        <v>29.721</v>
      </c>
      <c r="T27" s="72">
        <v>29.721</v>
      </c>
      <c r="U27" s="72">
        <v>30.558</v>
      </c>
      <c r="V27" s="72">
        <v>30.14</v>
      </c>
      <c r="W27" s="72">
        <v>29.302</v>
      </c>
    </row>
    <row r="28" spans="1:23" x14ac:dyDescent="0.2">
      <c r="A28" s="70">
        <v>1523</v>
      </c>
      <c r="B28" s="72">
        <v>30.14</v>
      </c>
      <c r="C28" s="72">
        <v>30.14</v>
      </c>
      <c r="D28" s="72">
        <v>30.14</v>
      </c>
      <c r="E28" s="72">
        <v>30.558</v>
      </c>
      <c r="F28" s="72">
        <v>30.558</v>
      </c>
      <c r="G28" s="72">
        <v>30.977</v>
      </c>
      <c r="H28" s="72">
        <v>30.558</v>
      </c>
      <c r="I28" s="72">
        <v>28.884</v>
      </c>
      <c r="J28" s="72">
        <v>30.14</v>
      </c>
      <c r="K28" s="72">
        <v>30.977</v>
      </c>
      <c r="L28" s="72">
        <v>30.14</v>
      </c>
      <c r="M28" s="72">
        <v>30.14</v>
      </c>
      <c r="N28" s="72">
        <v>30.558</v>
      </c>
      <c r="O28" s="72">
        <v>30.558</v>
      </c>
      <c r="P28" s="72">
        <v>30.558</v>
      </c>
      <c r="Q28" s="72">
        <v>30.14</v>
      </c>
      <c r="R28" s="72">
        <v>28.884</v>
      </c>
      <c r="S28" s="72">
        <v>30.558</v>
      </c>
      <c r="T28" s="72">
        <v>30.14</v>
      </c>
      <c r="U28" s="72">
        <v>31.395</v>
      </c>
      <c r="V28" s="72">
        <v>30.558</v>
      </c>
      <c r="W28" s="72">
        <v>29.721</v>
      </c>
    </row>
    <row r="29" spans="1:23" x14ac:dyDescent="0.2">
      <c r="A29" s="70">
        <v>1573</v>
      </c>
      <c r="B29" s="72">
        <v>30.558</v>
      </c>
      <c r="C29" s="72">
        <v>30.558</v>
      </c>
      <c r="D29" s="72">
        <v>30.558</v>
      </c>
      <c r="E29" s="72">
        <v>31.395</v>
      </c>
      <c r="F29" s="72">
        <v>31.395</v>
      </c>
      <c r="G29" s="72">
        <v>31.814</v>
      </c>
      <c r="H29" s="72">
        <v>31.395</v>
      </c>
      <c r="I29" s="72">
        <v>29.302</v>
      </c>
      <c r="J29" s="72">
        <v>30.558</v>
      </c>
      <c r="K29" s="72">
        <v>31.814</v>
      </c>
      <c r="L29" s="72">
        <v>30.558</v>
      </c>
      <c r="M29" s="72">
        <v>30.558</v>
      </c>
      <c r="N29" s="72">
        <v>30.977</v>
      </c>
      <c r="O29" s="72">
        <v>30.977</v>
      </c>
      <c r="P29" s="72">
        <v>30.977</v>
      </c>
      <c r="Q29" s="72">
        <v>30.977</v>
      </c>
      <c r="R29" s="72">
        <v>29.721</v>
      </c>
      <c r="S29" s="72">
        <v>31.395</v>
      </c>
      <c r="T29" s="72">
        <v>30.558</v>
      </c>
      <c r="U29" s="72">
        <v>32.232999999999997</v>
      </c>
      <c r="V29" s="72">
        <v>30.977</v>
      </c>
      <c r="W29" s="72">
        <v>30.14</v>
      </c>
    </row>
    <row r="30" spans="1:23" x14ac:dyDescent="0.2">
      <c r="A30" s="70">
        <v>1623</v>
      </c>
      <c r="B30" s="72">
        <v>30.977</v>
      </c>
      <c r="C30" s="72">
        <v>30.977</v>
      </c>
      <c r="D30" s="72">
        <v>30.977</v>
      </c>
      <c r="E30" s="72">
        <v>32.232999999999997</v>
      </c>
      <c r="F30" s="72">
        <v>32.232999999999997</v>
      </c>
      <c r="G30" s="72">
        <v>32.651000000000003</v>
      </c>
      <c r="H30" s="72">
        <v>32.232999999999997</v>
      </c>
      <c r="I30" s="72">
        <v>29.721</v>
      </c>
      <c r="J30" s="72">
        <v>30.977</v>
      </c>
      <c r="K30" s="72">
        <v>32.651000000000003</v>
      </c>
      <c r="L30" s="72">
        <v>30.977</v>
      </c>
      <c r="M30" s="72">
        <v>30.977</v>
      </c>
      <c r="N30" s="72">
        <v>31.395</v>
      </c>
      <c r="O30" s="72">
        <v>31.395</v>
      </c>
      <c r="P30" s="72">
        <v>31.395</v>
      </c>
      <c r="Q30" s="72">
        <v>31.814</v>
      </c>
      <c r="R30" s="72">
        <v>30.558</v>
      </c>
      <c r="S30" s="72">
        <v>32.232999999999997</v>
      </c>
      <c r="T30" s="72">
        <v>30.977</v>
      </c>
      <c r="U30" s="72">
        <v>33.07</v>
      </c>
      <c r="V30" s="72">
        <v>31.395</v>
      </c>
      <c r="W30" s="72">
        <v>30.558</v>
      </c>
    </row>
    <row r="31" spans="1:23" x14ac:dyDescent="0.2">
      <c r="A31" s="70">
        <v>3000</v>
      </c>
      <c r="B31" s="72">
        <f>B30</f>
        <v>30.977</v>
      </c>
      <c r="C31" s="72">
        <f t="shared" ref="C31:W31" si="0">C30</f>
        <v>30.977</v>
      </c>
      <c r="D31" s="72">
        <f t="shared" si="0"/>
        <v>30.977</v>
      </c>
      <c r="E31" s="72">
        <f t="shared" si="0"/>
        <v>32.232999999999997</v>
      </c>
      <c r="F31" s="72">
        <f t="shared" si="0"/>
        <v>32.232999999999997</v>
      </c>
      <c r="G31" s="72">
        <f t="shared" si="0"/>
        <v>32.651000000000003</v>
      </c>
      <c r="H31" s="72">
        <f t="shared" si="0"/>
        <v>32.232999999999997</v>
      </c>
      <c r="I31" s="72">
        <f t="shared" si="0"/>
        <v>29.721</v>
      </c>
      <c r="J31" s="72">
        <f t="shared" si="0"/>
        <v>30.977</v>
      </c>
      <c r="K31" s="72">
        <f t="shared" si="0"/>
        <v>32.651000000000003</v>
      </c>
      <c r="L31" s="72">
        <f t="shared" si="0"/>
        <v>30.977</v>
      </c>
      <c r="M31" s="72">
        <f t="shared" si="0"/>
        <v>30.977</v>
      </c>
      <c r="N31" s="72">
        <f t="shared" si="0"/>
        <v>31.395</v>
      </c>
      <c r="O31" s="72">
        <f t="shared" si="0"/>
        <v>31.395</v>
      </c>
      <c r="P31" s="72">
        <f t="shared" si="0"/>
        <v>31.395</v>
      </c>
      <c r="Q31" s="72">
        <f t="shared" si="0"/>
        <v>31.814</v>
      </c>
      <c r="R31" s="72">
        <f t="shared" si="0"/>
        <v>30.558</v>
      </c>
      <c r="S31" s="72">
        <f t="shared" si="0"/>
        <v>32.232999999999997</v>
      </c>
      <c r="T31" s="72">
        <f t="shared" si="0"/>
        <v>30.977</v>
      </c>
      <c r="U31" s="72">
        <f t="shared" si="0"/>
        <v>33.07</v>
      </c>
      <c r="V31" s="72">
        <f t="shared" si="0"/>
        <v>31.395</v>
      </c>
      <c r="W31" s="72">
        <f t="shared" si="0"/>
        <v>30.558</v>
      </c>
    </row>
  </sheetData>
  <phoneticPr fontId="1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9"/>
  <dimension ref="A1:W31"/>
  <sheetViews>
    <sheetView workbookViewId="0">
      <selection activeCell="D20" sqref="D20"/>
    </sheetView>
  </sheetViews>
  <sheetFormatPr baseColWidth="10" defaultColWidth="11.42578125" defaultRowHeight="12.75" x14ac:dyDescent="0.2"/>
  <cols>
    <col min="1" max="16384" width="11.42578125" style="71"/>
  </cols>
  <sheetData>
    <row r="1" spans="1:23" s="68" customFormat="1" ht="60" customHeight="1" x14ac:dyDescent="0.2">
      <c r="A1" s="67" t="s">
        <v>133</v>
      </c>
    </row>
    <row r="2" spans="1:23" s="69" customFormat="1" x14ac:dyDescent="0.2">
      <c r="A2" s="69" t="s">
        <v>77</v>
      </c>
      <c r="B2" s="69" t="s">
        <v>78</v>
      </c>
      <c r="C2" s="69" t="s">
        <v>90</v>
      </c>
      <c r="D2" s="69" t="s">
        <v>91</v>
      </c>
      <c r="E2" s="69" t="s">
        <v>92</v>
      </c>
      <c r="F2" s="69" t="s">
        <v>93</v>
      </c>
      <c r="G2" s="69" t="s">
        <v>94</v>
      </c>
      <c r="H2" s="69" t="s">
        <v>95</v>
      </c>
      <c r="I2" s="69" t="s">
        <v>96</v>
      </c>
      <c r="J2" s="69" t="s">
        <v>97</v>
      </c>
      <c r="K2" s="69" t="s">
        <v>98</v>
      </c>
      <c r="L2" s="69" t="s">
        <v>99</v>
      </c>
      <c r="M2" s="69" t="s">
        <v>100</v>
      </c>
      <c r="N2" s="69" t="s">
        <v>101</v>
      </c>
      <c r="O2" s="69" t="s">
        <v>102</v>
      </c>
      <c r="P2" s="69" t="s">
        <v>103</v>
      </c>
      <c r="Q2" s="69" t="s">
        <v>104</v>
      </c>
      <c r="R2" s="69" t="s">
        <v>105</v>
      </c>
      <c r="S2" s="69" t="s">
        <v>106</v>
      </c>
      <c r="T2" s="69" t="s">
        <v>107</v>
      </c>
      <c r="U2" s="69" t="s">
        <v>108</v>
      </c>
      <c r="V2" s="69" t="s">
        <v>109</v>
      </c>
      <c r="W2" s="69" t="s">
        <v>110</v>
      </c>
    </row>
    <row r="3" spans="1:23" x14ac:dyDescent="0.2">
      <c r="A3" s="70">
        <v>253</v>
      </c>
      <c r="B3" s="70">
        <v>7876</v>
      </c>
      <c r="C3" s="70">
        <v>7861</v>
      </c>
      <c r="D3" s="70">
        <v>7863</v>
      </c>
      <c r="E3" s="70">
        <v>7858</v>
      </c>
      <c r="F3" s="70">
        <v>7848</v>
      </c>
      <c r="G3" s="70">
        <v>7855</v>
      </c>
      <c r="H3" s="70">
        <v>7855</v>
      </c>
      <c r="I3" s="70">
        <v>7834</v>
      </c>
      <c r="J3" s="70">
        <v>7854</v>
      </c>
      <c r="K3" s="70">
        <v>7859</v>
      </c>
      <c r="L3" s="70">
        <v>7851</v>
      </c>
      <c r="M3" s="70">
        <v>7852</v>
      </c>
      <c r="N3" s="70">
        <v>7863</v>
      </c>
      <c r="O3" s="70">
        <v>7847</v>
      </c>
      <c r="P3" s="70">
        <v>7850</v>
      </c>
      <c r="Q3" s="70">
        <v>7729</v>
      </c>
      <c r="R3" s="70">
        <v>7877</v>
      </c>
      <c r="S3" s="70">
        <v>8166</v>
      </c>
      <c r="T3" s="70">
        <v>7921</v>
      </c>
      <c r="U3" s="70">
        <v>7749</v>
      </c>
      <c r="V3" s="70">
        <v>7745</v>
      </c>
      <c r="W3" s="70">
        <v>8696</v>
      </c>
    </row>
    <row r="4" spans="1:23" x14ac:dyDescent="0.2">
      <c r="A4" s="70">
        <v>323</v>
      </c>
      <c r="B4" s="70">
        <v>7876</v>
      </c>
      <c r="C4" s="70">
        <v>7861</v>
      </c>
      <c r="D4" s="70">
        <v>7863</v>
      </c>
      <c r="E4" s="70">
        <v>7858</v>
      </c>
      <c r="F4" s="70">
        <v>7848</v>
      </c>
      <c r="G4" s="70">
        <v>7855</v>
      </c>
      <c r="H4" s="70">
        <v>7855</v>
      </c>
      <c r="I4" s="70">
        <v>7834</v>
      </c>
      <c r="J4" s="70">
        <v>7854</v>
      </c>
      <c r="K4" s="70">
        <v>7859</v>
      </c>
      <c r="L4" s="70">
        <v>7851</v>
      </c>
      <c r="M4" s="70">
        <v>7852</v>
      </c>
      <c r="N4" s="70">
        <v>7863</v>
      </c>
      <c r="O4" s="70">
        <v>7847</v>
      </c>
      <c r="P4" s="70">
        <v>7850</v>
      </c>
      <c r="Q4" s="70">
        <v>7729</v>
      </c>
      <c r="R4" s="70">
        <v>7877</v>
      </c>
      <c r="S4" s="70">
        <v>8166</v>
      </c>
      <c r="T4" s="70">
        <v>7921</v>
      </c>
      <c r="U4" s="70">
        <v>7749</v>
      </c>
      <c r="V4" s="70">
        <v>7745</v>
      </c>
      <c r="W4" s="70">
        <v>8696</v>
      </c>
    </row>
    <row r="5" spans="1:23" x14ac:dyDescent="0.2">
      <c r="A5" s="70">
        <v>373</v>
      </c>
      <c r="B5" s="70">
        <v>7876</v>
      </c>
      <c r="C5" s="70">
        <v>7861</v>
      </c>
      <c r="D5" s="70">
        <v>7863</v>
      </c>
      <c r="E5" s="70">
        <v>7858</v>
      </c>
      <c r="F5" s="70">
        <v>7848</v>
      </c>
      <c r="G5" s="70">
        <v>7855</v>
      </c>
      <c r="H5" s="70">
        <v>7855</v>
      </c>
      <c r="I5" s="70">
        <v>7834</v>
      </c>
      <c r="J5" s="70">
        <v>7854</v>
      </c>
      <c r="K5" s="70">
        <v>7859</v>
      </c>
      <c r="L5" s="70">
        <v>7851</v>
      </c>
      <c r="M5" s="70">
        <v>7852</v>
      </c>
      <c r="N5" s="70">
        <v>7863</v>
      </c>
      <c r="O5" s="70">
        <v>7847</v>
      </c>
      <c r="P5" s="70">
        <v>7850</v>
      </c>
      <c r="Q5" s="70">
        <v>7729</v>
      </c>
      <c r="R5" s="70">
        <v>7877</v>
      </c>
      <c r="S5" s="70">
        <v>8166</v>
      </c>
      <c r="T5" s="70">
        <v>7921</v>
      </c>
      <c r="U5" s="70">
        <v>7749</v>
      </c>
      <c r="V5" s="70">
        <v>7745</v>
      </c>
      <c r="W5" s="70">
        <v>8696</v>
      </c>
    </row>
    <row r="6" spans="1:23" x14ac:dyDescent="0.2">
      <c r="A6" s="70">
        <v>423</v>
      </c>
      <c r="B6" s="70">
        <v>7876</v>
      </c>
      <c r="C6" s="70">
        <v>7861</v>
      </c>
      <c r="D6" s="70">
        <v>7863</v>
      </c>
      <c r="E6" s="70">
        <v>7858</v>
      </c>
      <c r="F6" s="70">
        <v>7848</v>
      </c>
      <c r="G6" s="70">
        <v>7855</v>
      </c>
      <c r="H6" s="70">
        <v>7855</v>
      </c>
      <c r="I6" s="70">
        <v>7834</v>
      </c>
      <c r="J6" s="70">
        <v>7854</v>
      </c>
      <c r="K6" s="70">
        <v>7859</v>
      </c>
      <c r="L6" s="70">
        <v>7851</v>
      </c>
      <c r="M6" s="70">
        <v>7852</v>
      </c>
      <c r="N6" s="70">
        <v>7863</v>
      </c>
      <c r="O6" s="70">
        <v>7847</v>
      </c>
      <c r="P6" s="70">
        <v>7850</v>
      </c>
      <c r="Q6" s="70">
        <v>7729</v>
      </c>
      <c r="R6" s="70">
        <v>7877</v>
      </c>
      <c r="S6" s="70">
        <v>8166</v>
      </c>
      <c r="T6" s="70">
        <v>7921</v>
      </c>
      <c r="U6" s="70">
        <v>7749</v>
      </c>
      <c r="V6" s="70">
        <v>7745</v>
      </c>
      <c r="W6" s="70">
        <v>8696</v>
      </c>
    </row>
    <row r="7" spans="1:23" x14ac:dyDescent="0.2">
      <c r="A7" s="70">
        <v>473</v>
      </c>
      <c r="B7" s="70">
        <v>7876</v>
      </c>
      <c r="C7" s="70">
        <v>7861</v>
      </c>
      <c r="D7" s="70">
        <v>7863</v>
      </c>
      <c r="E7" s="70">
        <v>7858</v>
      </c>
      <c r="F7" s="70">
        <v>7848</v>
      </c>
      <c r="G7" s="70">
        <v>7855</v>
      </c>
      <c r="H7" s="70">
        <v>7855</v>
      </c>
      <c r="I7" s="70">
        <v>7834</v>
      </c>
      <c r="J7" s="70">
        <v>7854</v>
      </c>
      <c r="K7" s="70">
        <v>7859</v>
      </c>
      <c r="L7" s="70">
        <v>7851</v>
      </c>
      <c r="M7" s="70">
        <v>7852</v>
      </c>
      <c r="N7" s="70">
        <v>7863</v>
      </c>
      <c r="O7" s="70">
        <v>7847</v>
      </c>
      <c r="P7" s="70">
        <v>7850</v>
      </c>
      <c r="Q7" s="70">
        <v>7729</v>
      </c>
      <c r="R7" s="70">
        <v>7877</v>
      </c>
      <c r="S7" s="70">
        <v>8166</v>
      </c>
      <c r="T7" s="70">
        <v>7921</v>
      </c>
      <c r="U7" s="70">
        <v>7749</v>
      </c>
      <c r="V7" s="70">
        <v>7745</v>
      </c>
      <c r="W7" s="70">
        <v>8696</v>
      </c>
    </row>
    <row r="8" spans="1:23" x14ac:dyDescent="0.2">
      <c r="A8" s="70">
        <v>523</v>
      </c>
      <c r="B8" s="70">
        <v>7876</v>
      </c>
      <c r="C8" s="70">
        <v>7861</v>
      </c>
      <c r="D8" s="70">
        <v>7863</v>
      </c>
      <c r="E8" s="70">
        <v>7858</v>
      </c>
      <c r="F8" s="70">
        <v>7848</v>
      </c>
      <c r="G8" s="70">
        <v>7855</v>
      </c>
      <c r="H8" s="70">
        <v>7855</v>
      </c>
      <c r="I8" s="70">
        <v>7834</v>
      </c>
      <c r="J8" s="70">
        <v>7854</v>
      </c>
      <c r="K8" s="70">
        <v>7859</v>
      </c>
      <c r="L8" s="70">
        <v>7851</v>
      </c>
      <c r="M8" s="70">
        <v>7852</v>
      </c>
      <c r="N8" s="70">
        <v>7863</v>
      </c>
      <c r="O8" s="70">
        <v>7847</v>
      </c>
      <c r="P8" s="70">
        <v>7850</v>
      </c>
      <c r="Q8" s="70">
        <v>7729</v>
      </c>
      <c r="R8" s="70">
        <v>7877</v>
      </c>
      <c r="S8" s="70">
        <v>8166</v>
      </c>
      <c r="T8" s="70">
        <v>7921</v>
      </c>
      <c r="U8" s="70">
        <v>7749</v>
      </c>
      <c r="V8" s="70">
        <v>7745</v>
      </c>
      <c r="W8" s="70">
        <v>8696</v>
      </c>
    </row>
    <row r="9" spans="1:23" x14ac:dyDescent="0.2">
      <c r="A9" s="70">
        <v>573</v>
      </c>
      <c r="B9" s="70">
        <v>7876</v>
      </c>
      <c r="C9" s="70">
        <v>7861</v>
      </c>
      <c r="D9" s="70">
        <v>7863</v>
      </c>
      <c r="E9" s="70">
        <v>7858</v>
      </c>
      <c r="F9" s="70">
        <v>7848</v>
      </c>
      <c r="G9" s="70">
        <v>7855</v>
      </c>
      <c r="H9" s="70">
        <v>7855</v>
      </c>
      <c r="I9" s="70">
        <v>7834</v>
      </c>
      <c r="J9" s="70">
        <v>7854</v>
      </c>
      <c r="K9" s="70">
        <v>7859</v>
      </c>
      <c r="L9" s="70">
        <v>7851</v>
      </c>
      <c r="M9" s="70">
        <v>7852</v>
      </c>
      <c r="N9" s="70">
        <v>7863</v>
      </c>
      <c r="O9" s="70">
        <v>7847</v>
      </c>
      <c r="P9" s="70">
        <v>7850</v>
      </c>
      <c r="Q9" s="70">
        <v>7729</v>
      </c>
      <c r="R9" s="70">
        <v>7877</v>
      </c>
      <c r="S9" s="70">
        <v>8166</v>
      </c>
      <c r="T9" s="70">
        <v>7921</v>
      </c>
      <c r="U9" s="70">
        <v>7749</v>
      </c>
      <c r="V9" s="70">
        <v>7745</v>
      </c>
      <c r="W9" s="70">
        <v>8696</v>
      </c>
    </row>
    <row r="10" spans="1:23" x14ac:dyDescent="0.2">
      <c r="A10" s="70">
        <v>623</v>
      </c>
      <c r="B10" s="70">
        <v>7876</v>
      </c>
      <c r="C10" s="70">
        <v>7861</v>
      </c>
      <c r="D10" s="70">
        <v>7863</v>
      </c>
      <c r="E10" s="70">
        <v>7858</v>
      </c>
      <c r="F10" s="70">
        <v>7848</v>
      </c>
      <c r="G10" s="70">
        <v>7855</v>
      </c>
      <c r="H10" s="70">
        <v>7855</v>
      </c>
      <c r="I10" s="70">
        <v>7834</v>
      </c>
      <c r="J10" s="70">
        <v>7854</v>
      </c>
      <c r="K10" s="70">
        <v>7859</v>
      </c>
      <c r="L10" s="70">
        <v>7851</v>
      </c>
      <c r="M10" s="70">
        <v>7852</v>
      </c>
      <c r="N10" s="70">
        <v>7863</v>
      </c>
      <c r="O10" s="70">
        <v>7847</v>
      </c>
      <c r="P10" s="70">
        <v>7850</v>
      </c>
      <c r="Q10" s="70">
        <v>7729</v>
      </c>
      <c r="R10" s="70">
        <v>7877</v>
      </c>
      <c r="S10" s="70">
        <v>8166</v>
      </c>
      <c r="T10" s="70">
        <v>7921</v>
      </c>
      <c r="U10" s="70">
        <v>7749</v>
      </c>
      <c r="V10" s="70">
        <v>7745</v>
      </c>
      <c r="W10" s="70">
        <v>8696</v>
      </c>
    </row>
    <row r="11" spans="1:23" x14ac:dyDescent="0.2">
      <c r="A11" s="70">
        <v>673</v>
      </c>
      <c r="B11" s="70">
        <v>7876</v>
      </c>
      <c r="C11" s="70">
        <v>7861</v>
      </c>
      <c r="D11" s="70">
        <v>7863</v>
      </c>
      <c r="E11" s="70">
        <v>7858</v>
      </c>
      <c r="F11" s="70">
        <v>7848</v>
      </c>
      <c r="G11" s="70">
        <v>7855</v>
      </c>
      <c r="H11" s="70">
        <v>7855</v>
      </c>
      <c r="I11" s="70">
        <v>7834</v>
      </c>
      <c r="J11" s="70">
        <v>7854</v>
      </c>
      <c r="K11" s="70">
        <v>7859</v>
      </c>
      <c r="L11" s="70">
        <v>7851</v>
      </c>
      <c r="M11" s="70">
        <v>7852</v>
      </c>
      <c r="N11" s="70">
        <v>7863</v>
      </c>
      <c r="O11" s="70">
        <v>7847</v>
      </c>
      <c r="P11" s="70">
        <v>7850</v>
      </c>
      <c r="Q11" s="70">
        <v>7729</v>
      </c>
      <c r="R11" s="70">
        <v>7877</v>
      </c>
      <c r="S11" s="70">
        <v>8166</v>
      </c>
      <c r="T11" s="70">
        <v>7921</v>
      </c>
      <c r="U11" s="70">
        <v>7749</v>
      </c>
      <c r="V11" s="70">
        <v>7745</v>
      </c>
      <c r="W11" s="70">
        <v>8696</v>
      </c>
    </row>
    <row r="12" spans="1:23" x14ac:dyDescent="0.2">
      <c r="A12" s="70">
        <v>723</v>
      </c>
      <c r="B12" s="70">
        <v>7876</v>
      </c>
      <c r="C12" s="70">
        <v>7861</v>
      </c>
      <c r="D12" s="70">
        <v>7863</v>
      </c>
      <c r="E12" s="70">
        <v>7858</v>
      </c>
      <c r="F12" s="70">
        <v>7848</v>
      </c>
      <c r="G12" s="70">
        <v>7855</v>
      </c>
      <c r="H12" s="70">
        <v>7855</v>
      </c>
      <c r="I12" s="70">
        <v>7834</v>
      </c>
      <c r="J12" s="70">
        <v>7854</v>
      </c>
      <c r="K12" s="70">
        <v>7859</v>
      </c>
      <c r="L12" s="70">
        <v>7851</v>
      </c>
      <c r="M12" s="70">
        <v>7852</v>
      </c>
      <c r="N12" s="70">
        <v>7863</v>
      </c>
      <c r="O12" s="70">
        <v>7847</v>
      </c>
      <c r="P12" s="70">
        <v>7850</v>
      </c>
      <c r="Q12" s="70">
        <v>7729</v>
      </c>
      <c r="R12" s="70">
        <v>7877</v>
      </c>
      <c r="S12" s="70">
        <v>8166</v>
      </c>
      <c r="T12" s="70">
        <v>7921</v>
      </c>
      <c r="U12" s="70">
        <v>7749</v>
      </c>
      <c r="V12" s="70">
        <v>7745</v>
      </c>
      <c r="W12" s="70">
        <v>8696</v>
      </c>
    </row>
    <row r="13" spans="1:23" x14ac:dyDescent="0.2">
      <c r="A13" s="70">
        <v>773</v>
      </c>
      <c r="B13" s="70">
        <v>7876</v>
      </c>
      <c r="C13" s="70">
        <v>7861</v>
      </c>
      <c r="D13" s="70">
        <v>7863</v>
      </c>
      <c r="E13" s="70">
        <v>7858</v>
      </c>
      <c r="F13" s="70">
        <v>7848</v>
      </c>
      <c r="G13" s="70">
        <v>7855</v>
      </c>
      <c r="H13" s="70">
        <v>7855</v>
      </c>
      <c r="I13" s="70">
        <v>7834</v>
      </c>
      <c r="J13" s="70">
        <v>7854</v>
      </c>
      <c r="K13" s="70">
        <v>7859</v>
      </c>
      <c r="L13" s="70">
        <v>7851</v>
      </c>
      <c r="M13" s="70">
        <v>7852</v>
      </c>
      <c r="N13" s="70">
        <v>7863</v>
      </c>
      <c r="O13" s="70">
        <v>7847</v>
      </c>
      <c r="P13" s="70">
        <v>7850</v>
      </c>
      <c r="Q13" s="70">
        <v>7729</v>
      </c>
      <c r="R13" s="70">
        <v>7877</v>
      </c>
      <c r="S13" s="70">
        <v>8166</v>
      </c>
      <c r="T13" s="70">
        <v>7921</v>
      </c>
      <c r="U13" s="70">
        <v>7749</v>
      </c>
      <c r="V13" s="70">
        <v>7745</v>
      </c>
      <c r="W13" s="70">
        <v>8696</v>
      </c>
    </row>
    <row r="14" spans="1:23" x14ac:dyDescent="0.2">
      <c r="A14" s="70">
        <v>823</v>
      </c>
      <c r="B14" s="70">
        <v>7876</v>
      </c>
      <c r="C14" s="70">
        <v>7861</v>
      </c>
      <c r="D14" s="70">
        <v>7863</v>
      </c>
      <c r="E14" s="70">
        <v>7858</v>
      </c>
      <c r="F14" s="70">
        <v>7848</v>
      </c>
      <c r="G14" s="70">
        <v>7855</v>
      </c>
      <c r="H14" s="70">
        <v>7855</v>
      </c>
      <c r="I14" s="70">
        <v>7834</v>
      </c>
      <c r="J14" s="70">
        <v>7854</v>
      </c>
      <c r="K14" s="70">
        <v>7859</v>
      </c>
      <c r="L14" s="70">
        <v>7851</v>
      </c>
      <c r="M14" s="70">
        <v>7852</v>
      </c>
      <c r="N14" s="70">
        <v>7863</v>
      </c>
      <c r="O14" s="70">
        <v>7847</v>
      </c>
      <c r="P14" s="70">
        <v>7850</v>
      </c>
      <c r="Q14" s="70">
        <v>7729</v>
      </c>
      <c r="R14" s="70">
        <v>7877</v>
      </c>
      <c r="S14" s="70">
        <v>8166</v>
      </c>
      <c r="T14" s="70">
        <v>7921</v>
      </c>
      <c r="U14" s="70">
        <v>7749</v>
      </c>
      <c r="V14" s="70">
        <v>7745</v>
      </c>
      <c r="W14" s="70">
        <v>8696</v>
      </c>
    </row>
    <row r="15" spans="1:23" x14ac:dyDescent="0.2">
      <c r="A15" s="70">
        <v>873</v>
      </c>
      <c r="B15" s="70">
        <v>7876</v>
      </c>
      <c r="C15" s="70">
        <v>7861</v>
      </c>
      <c r="D15" s="70">
        <v>7863</v>
      </c>
      <c r="E15" s="70">
        <v>7858</v>
      </c>
      <c r="F15" s="70">
        <v>7848</v>
      </c>
      <c r="G15" s="70">
        <v>7855</v>
      </c>
      <c r="H15" s="70">
        <v>7855</v>
      </c>
      <c r="I15" s="70">
        <v>7834</v>
      </c>
      <c r="J15" s="70">
        <v>7854</v>
      </c>
      <c r="K15" s="70">
        <v>7859</v>
      </c>
      <c r="L15" s="70">
        <v>7851</v>
      </c>
      <c r="M15" s="70">
        <v>7852</v>
      </c>
      <c r="N15" s="70">
        <v>7863</v>
      </c>
      <c r="O15" s="70">
        <v>7847</v>
      </c>
      <c r="P15" s="70">
        <v>7850</v>
      </c>
      <c r="Q15" s="70">
        <v>7729</v>
      </c>
      <c r="R15" s="70">
        <v>7877</v>
      </c>
      <c r="S15" s="70">
        <v>8166</v>
      </c>
      <c r="T15" s="70">
        <v>7921</v>
      </c>
      <c r="U15" s="70">
        <v>7749</v>
      </c>
      <c r="V15" s="70">
        <v>7745</v>
      </c>
      <c r="W15" s="70">
        <v>8696</v>
      </c>
    </row>
    <row r="16" spans="1:23" x14ac:dyDescent="0.2">
      <c r="A16" s="70">
        <v>923</v>
      </c>
      <c r="B16" s="70">
        <v>7876</v>
      </c>
      <c r="C16" s="70">
        <v>7861</v>
      </c>
      <c r="D16" s="70">
        <v>7863</v>
      </c>
      <c r="E16" s="70">
        <v>7858</v>
      </c>
      <c r="F16" s="70">
        <v>7848</v>
      </c>
      <c r="G16" s="70">
        <v>7855</v>
      </c>
      <c r="H16" s="70">
        <v>7855</v>
      </c>
      <c r="I16" s="70">
        <v>7834</v>
      </c>
      <c r="J16" s="70">
        <v>7854</v>
      </c>
      <c r="K16" s="70">
        <v>7859</v>
      </c>
      <c r="L16" s="70">
        <v>7851</v>
      </c>
      <c r="M16" s="70">
        <v>7852</v>
      </c>
      <c r="N16" s="70">
        <v>7863</v>
      </c>
      <c r="O16" s="70">
        <v>7847</v>
      </c>
      <c r="P16" s="70">
        <v>7850</v>
      </c>
      <c r="Q16" s="70">
        <v>7729</v>
      </c>
      <c r="R16" s="70">
        <v>7877</v>
      </c>
      <c r="S16" s="70">
        <v>8166</v>
      </c>
      <c r="T16" s="70">
        <v>7921</v>
      </c>
      <c r="U16" s="70">
        <v>7749</v>
      </c>
      <c r="V16" s="70">
        <v>7745</v>
      </c>
      <c r="W16" s="70">
        <v>8696</v>
      </c>
    </row>
    <row r="17" spans="1:23" x14ac:dyDescent="0.2">
      <c r="A17" s="70">
        <v>973</v>
      </c>
      <c r="B17" s="70">
        <v>7876</v>
      </c>
      <c r="C17" s="70">
        <v>7861</v>
      </c>
      <c r="D17" s="70">
        <v>7863</v>
      </c>
      <c r="E17" s="70">
        <v>7858</v>
      </c>
      <c r="F17" s="70">
        <v>7848</v>
      </c>
      <c r="G17" s="70">
        <v>7855</v>
      </c>
      <c r="H17" s="70">
        <v>7855</v>
      </c>
      <c r="I17" s="70">
        <v>7834</v>
      </c>
      <c r="J17" s="70">
        <v>7854</v>
      </c>
      <c r="K17" s="70">
        <v>7859</v>
      </c>
      <c r="L17" s="70">
        <v>7851</v>
      </c>
      <c r="M17" s="70">
        <v>7852</v>
      </c>
      <c r="N17" s="70">
        <v>7863</v>
      </c>
      <c r="O17" s="70">
        <v>7847</v>
      </c>
      <c r="P17" s="70">
        <v>7850</v>
      </c>
      <c r="Q17" s="70">
        <v>7729</v>
      </c>
      <c r="R17" s="70">
        <v>7877</v>
      </c>
      <c r="S17" s="70">
        <v>8166</v>
      </c>
      <c r="T17" s="70">
        <v>7921</v>
      </c>
      <c r="U17" s="70">
        <v>7749</v>
      </c>
      <c r="V17" s="70">
        <v>7745</v>
      </c>
      <c r="W17" s="70">
        <v>8696</v>
      </c>
    </row>
    <row r="18" spans="1:23" x14ac:dyDescent="0.2">
      <c r="A18" s="70">
        <v>1023</v>
      </c>
      <c r="B18" s="70">
        <v>7876</v>
      </c>
      <c r="C18" s="70">
        <v>7861</v>
      </c>
      <c r="D18" s="70">
        <v>7863</v>
      </c>
      <c r="E18" s="70">
        <v>7858</v>
      </c>
      <c r="F18" s="70">
        <v>7848</v>
      </c>
      <c r="G18" s="70">
        <v>7855</v>
      </c>
      <c r="H18" s="70">
        <v>7855</v>
      </c>
      <c r="I18" s="70">
        <v>7834</v>
      </c>
      <c r="J18" s="70">
        <v>7854</v>
      </c>
      <c r="K18" s="70">
        <v>7859</v>
      </c>
      <c r="L18" s="70">
        <v>7851</v>
      </c>
      <c r="M18" s="70">
        <v>7852</v>
      </c>
      <c r="N18" s="70">
        <v>7863</v>
      </c>
      <c r="O18" s="70">
        <v>7847</v>
      </c>
      <c r="P18" s="70">
        <v>7850</v>
      </c>
      <c r="Q18" s="70">
        <v>7729</v>
      </c>
      <c r="R18" s="70">
        <v>7877</v>
      </c>
      <c r="S18" s="70">
        <v>8166</v>
      </c>
      <c r="T18" s="70">
        <v>7921</v>
      </c>
      <c r="U18" s="70">
        <v>7749</v>
      </c>
      <c r="V18" s="70">
        <v>7745</v>
      </c>
      <c r="W18" s="70">
        <v>8696</v>
      </c>
    </row>
    <row r="19" spans="1:23" x14ac:dyDescent="0.2">
      <c r="A19" s="70">
        <v>1073</v>
      </c>
      <c r="B19" s="70">
        <v>7876</v>
      </c>
      <c r="C19" s="70">
        <v>7861</v>
      </c>
      <c r="D19" s="70">
        <v>7863</v>
      </c>
      <c r="E19" s="70">
        <v>7858</v>
      </c>
      <c r="F19" s="70">
        <v>7848</v>
      </c>
      <c r="G19" s="70">
        <v>7855</v>
      </c>
      <c r="H19" s="70">
        <v>7855</v>
      </c>
      <c r="I19" s="70">
        <v>7834</v>
      </c>
      <c r="J19" s="70">
        <v>7854</v>
      </c>
      <c r="K19" s="70">
        <v>7859</v>
      </c>
      <c r="L19" s="70">
        <v>7851</v>
      </c>
      <c r="M19" s="70">
        <v>7852</v>
      </c>
      <c r="N19" s="70">
        <v>7863</v>
      </c>
      <c r="O19" s="70">
        <v>7847</v>
      </c>
      <c r="P19" s="70">
        <v>7850</v>
      </c>
      <c r="Q19" s="70">
        <v>7729</v>
      </c>
      <c r="R19" s="70">
        <v>7877</v>
      </c>
      <c r="S19" s="70">
        <v>8166</v>
      </c>
      <c r="T19" s="70">
        <v>7921</v>
      </c>
      <c r="U19" s="70">
        <v>7749</v>
      </c>
      <c r="V19" s="70">
        <v>7745</v>
      </c>
      <c r="W19" s="70">
        <v>8696</v>
      </c>
    </row>
    <row r="20" spans="1:23" x14ac:dyDescent="0.2">
      <c r="A20" s="70">
        <v>1123</v>
      </c>
      <c r="B20" s="70">
        <v>7876</v>
      </c>
      <c r="C20" s="70">
        <v>7861</v>
      </c>
      <c r="D20" s="70">
        <v>7863</v>
      </c>
      <c r="E20" s="70">
        <v>7858</v>
      </c>
      <c r="F20" s="70">
        <v>7848</v>
      </c>
      <c r="G20" s="70">
        <v>7855</v>
      </c>
      <c r="H20" s="70">
        <v>7855</v>
      </c>
      <c r="I20" s="70">
        <v>7834</v>
      </c>
      <c r="J20" s="70">
        <v>7854</v>
      </c>
      <c r="K20" s="70">
        <v>7859</v>
      </c>
      <c r="L20" s="70">
        <v>7851</v>
      </c>
      <c r="M20" s="70">
        <v>7852</v>
      </c>
      <c r="N20" s="70">
        <v>7863</v>
      </c>
      <c r="O20" s="70">
        <v>7847</v>
      </c>
      <c r="P20" s="70">
        <v>7850</v>
      </c>
      <c r="Q20" s="70">
        <v>7729</v>
      </c>
      <c r="R20" s="70">
        <v>7877</v>
      </c>
      <c r="S20" s="70">
        <v>8166</v>
      </c>
      <c r="T20" s="70">
        <v>7921</v>
      </c>
      <c r="U20" s="70">
        <v>7749</v>
      </c>
      <c r="V20" s="70">
        <v>7745</v>
      </c>
      <c r="W20" s="70">
        <v>8696</v>
      </c>
    </row>
    <row r="21" spans="1:23" x14ac:dyDescent="0.2">
      <c r="A21" s="70">
        <v>1173</v>
      </c>
      <c r="B21" s="70">
        <v>7876</v>
      </c>
      <c r="C21" s="70">
        <v>7861</v>
      </c>
      <c r="D21" s="70">
        <v>7863</v>
      </c>
      <c r="E21" s="70">
        <v>7858</v>
      </c>
      <c r="F21" s="70">
        <v>7848</v>
      </c>
      <c r="G21" s="70">
        <v>7855</v>
      </c>
      <c r="H21" s="70">
        <v>7855</v>
      </c>
      <c r="I21" s="70">
        <v>7834</v>
      </c>
      <c r="J21" s="70">
        <v>7854</v>
      </c>
      <c r="K21" s="70">
        <v>7859</v>
      </c>
      <c r="L21" s="70">
        <v>7851</v>
      </c>
      <c r="M21" s="70">
        <v>7852</v>
      </c>
      <c r="N21" s="70">
        <v>7863</v>
      </c>
      <c r="O21" s="70">
        <v>7847</v>
      </c>
      <c r="P21" s="70">
        <v>7850</v>
      </c>
      <c r="Q21" s="70">
        <v>7729</v>
      </c>
      <c r="R21" s="70">
        <v>7877</v>
      </c>
      <c r="S21" s="70">
        <v>8166</v>
      </c>
      <c r="T21" s="70">
        <v>7921</v>
      </c>
      <c r="U21" s="70">
        <v>7749</v>
      </c>
      <c r="V21" s="70">
        <v>7745</v>
      </c>
      <c r="W21" s="70">
        <v>8696</v>
      </c>
    </row>
    <row r="22" spans="1:23" x14ac:dyDescent="0.2">
      <c r="A22" s="70">
        <v>1223</v>
      </c>
      <c r="B22" s="70">
        <v>7876</v>
      </c>
      <c r="C22" s="70">
        <v>7861</v>
      </c>
      <c r="D22" s="70">
        <v>7863</v>
      </c>
      <c r="E22" s="70">
        <v>7858</v>
      </c>
      <c r="F22" s="70">
        <v>7848</v>
      </c>
      <c r="G22" s="70">
        <v>7855</v>
      </c>
      <c r="H22" s="70">
        <v>7855</v>
      </c>
      <c r="I22" s="70">
        <v>7834</v>
      </c>
      <c r="J22" s="70">
        <v>7854</v>
      </c>
      <c r="K22" s="70">
        <v>7859</v>
      </c>
      <c r="L22" s="70">
        <v>7851</v>
      </c>
      <c r="M22" s="70">
        <v>7852</v>
      </c>
      <c r="N22" s="70">
        <v>7863</v>
      </c>
      <c r="O22" s="70">
        <v>7847</v>
      </c>
      <c r="P22" s="70">
        <v>7850</v>
      </c>
      <c r="Q22" s="70">
        <v>7729</v>
      </c>
      <c r="R22" s="70">
        <v>7877</v>
      </c>
      <c r="S22" s="70">
        <v>8166</v>
      </c>
      <c r="T22" s="70">
        <v>7921</v>
      </c>
      <c r="U22" s="70">
        <v>7749</v>
      </c>
      <c r="V22" s="70">
        <v>7745</v>
      </c>
      <c r="W22" s="70">
        <v>8696</v>
      </c>
    </row>
    <row r="23" spans="1:23" x14ac:dyDescent="0.2">
      <c r="A23" s="70">
        <v>1273</v>
      </c>
      <c r="B23" s="70">
        <v>7876</v>
      </c>
      <c r="C23" s="70">
        <v>7861</v>
      </c>
      <c r="D23" s="70">
        <v>7863</v>
      </c>
      <c r="E23" s="70">
        <v>7858</v>
      </c>
      <c r="F23" s="70">
        <v>7848</v>
      </c>
      <c r="G23" s="70">
        <v>7855</v>
      </c>
      <c r="H23" s="70">
        <v>7855</v>
      </c>
      <c r="I23" s="70">
        <v>7834</v>
      </c>
      <c r="J23" s="70">
        <v>7854</v>
      </c>
      <c r="K23" s="70">
        <v>7859</v>
      </c>
      <c r="L23" s="70">
        <v>7851</v>
      </c>
      <c r="M23" s="70">
        <v>7852</v>
      </c>
      <c r="N23" s="70">
        <v>7863</v>
      </c>
      <c r="O23" s="70">
        <v>7847</v>
      </c>
      <c r="P23" s="70">
        <v>7850</v>
      </c>
      <c r="Q23" s="70">
        <v>7729</v>
      </c>
      <c r="R23" s="70">
        <v>7877</v>
      </c>
      <c r="S23" s="70">
        <v>8166</v>
      </c>
      <c r="T23" s="70">
        <v>7921</v>
      </c>
      <c r="U23" s="70">
        <v>7749</v>
      </c>
      <c r="V23" s="70">
        <v>7745</v>
      </c>
      <c r="W23" s="70">
        <v>8696</v>
      </c>
    </row>
    <row r="24" spans="1:23" x14ac:dyDescent="0.2">
      <c r="A24" s="70">
        <v>1323</v>
      </c>
      <c r="B24" s="70">
        <v>7876</v>
      </c>
      <c r="C24" s="70">
        <v>7861</v>
      </c>
      <c r="D24" s="70">
        <v>7863</v>
      </c>
      <c r="E24" s="70">
        <v>7858</v>
      </c>
      <c r="F24" s="70">
        <v>7848</v>
      </c>
      <c r="G24" s="70">
        <v>7855</v>
      </c>
      <c r="H24" s="70">
        <v>7855</v>
      </c>
      <c r="I24" s="70">
        <v>7834</v>
      </c>
      <c r="J24" s="70">
        <v>7854</v>
      </c>
      <c r="K24" s="70">
        <v>7859</v>
      </c>
      <c r="L24" s="70">
        <v>7851</v>
      </c>
      <c r="M24" s="70">
        <v>7852</v>
      </c>
      <c r="N24" s="70">
        <v>7863</v>
      </c>
      <c r="O24" s="70">
        <v>7847</v>
      </c>
      <c r="P24" s="70">
        <v>7850</v>
      </c>
      <c r="Q24" s="70">
        <v>7729</v>
      </c>
      <c r="R24" s="70">
        <v>7877</v>
      </c>
      <c r="S24" s="70">
        <v>8166</v>
      </c>
      <c r="T24" s="70">
        <v>7921</v>
      </c>
      <c r="U24" s="70">
        <v>7749</v>
      </c>
      <c r="V24" s="70">
        <v>7745</v>
      </c>
      <c r="W24" s="70">
        <v>8696</v>
      </c>
    </row>
    <row r="25" spans="1:23" x14ac:dyDescent="0.2">
      <c r="A25" s="70">
        <v>1373</v>
      </c>
      <c r="B25" s="70">
        <v>7876</v>
      </c>
      <c r="C25" s="70">
        <v>7861</v>
      </c>
      <c r="D25" s="70">
        <v>7863</v>
      </c>
      <c r="E25" s="70">
        <v>7858</v>
      </c>
      <c r="F25" s="70">
        <v>7848</v>
      </c>
      <c r="G25" s="70">
        <v>7855</v>
      </c>
      <c r="H25" s="70">
        <v>7855</v>
      </c>
      <c r="I25" s="70">
        <v>7834</v>
      </c>
      <c r="J25" s="70">
        <v>7854</v>
      </c>
      <c r="K25" s="70">
        <v>7859</v>
      </c>
      <c r="L25" s="70">
        <v>7851</v>
      </c>
      <c r="M25" s="70">
        <v>7852</v>
      </c>
      <c r="N25" s="70">
        <v>7863</v>
      </c>
      <c r="O25" s="70">
        <v>7847</v>
      </c>
      <c r="P25" s="70">
        <v>7850</v>
      </c>
      <c r="Q25" s="70">
        <v>7729</v>
      </c>
      <c r="R25" s="70">
        <v>7877</v>
      </c>
      <c r="S25" s="70">
        <v>8166</v>
      </c>
      <c r="T25" s="70">
        <v>7921</v>
      </c>
      <c r="U25" s="70">
        <v>7749</v>
      </c>
      <c r="V25" s="70">
        <v>7745</v>
      </c>
      <c r="W25" s="70">
        <v>8696</v>
      </c>
    </row>
    <row r="26" spans="1:23" x14ac:dyDescent="0.2">
      <c r="A26" s="70">
        <v>1423</v>
      </c>
      <c r="B26" s="70">
        <v>7876</v>
      </c>
      <c r="C26" s="70">
        <v>7861</v>
      </c>
      <c r="D26" s="70">
        <v>7863</v>
      </c>
      <c r="E26" s="70">
        <v>7858</v>
      </c>
      <c r="F26" s="70">
        <v>7848</v>
      </c>
      <c r="G26" s="70">
        <v>7855</v>
      </c>
      <c r="H26" s="70">
        <v>7855</v>
      </c>
      <c r="I26" s="70">
        <v>7834</v>
      </c>
      <c r="J26" s="70">
        <v>7854</v>
      </c>
      <c r="K26" s="70">
        <v>7859</v>
      </c>
      <c r="L26" s="70">
        <v>7851</v>
      </c>
      <c r="M26" s="70">
        <v>7852</v>
      </c>
      <c r="N26" s="70">
        <v>7863</v>
      </c>
      <c r="O26" s="70">
        <v>7847</v>
      </c>
      <c r="P26" s="70">
        <v>7850</v>
      </c>
      <c r="Q26" s="70">
        <v>7729</v>
      </c>
      <c r="R26" s="70">
        <v>7877</v>
      </c>
      <c r="S26" s="70">
        <v>8166</v>
      </c>
      <c r="T26" s="70">
        <v>7921</v>
      </c>
      <c r="U26" s="70">
        <v>7749</v>
      </c>
      <c r="V26" s="70">
        <v>7745</v>
      </c>
      <c r="W26" s="70">
        <v>8696</v>
      </c>
    </row>
    <row r="27" spans="1:23" x14ac:dyDescent="0.2">
      <c r="A27" s="70">
        <v>1473</v>
      </c>
      <c r="B27" s="70">
        <v>7876</v>
      </c>
      <c r="C27" s="70">
        <v>7861</v>
      </c>
      <c r="D27" s="70">
        <v>7863</v>
      </c>
      <c r="E27" s="70">
        <v>7858</v>
      </c>
      <c r="F27" s="70">
        <v>7848</v>
      </c>
      <c r="G27" s="70">
        <v>7855</v>
      </c>
      <c r="H27" s="70">
        <v>7855</v>
      </c>
      <c r="I27" s="70">
        <v>7834</v>
      </c>
      <c r="J27" s="70">
        <v>7854</v>
      </c>
      <c r="K27" s="70">
        <v>7859</v>
      </c>
      <c r="L27" s="70">
        <v>7851</v>
      </c>
      <c r="M27" s="70">
        <v>7852</v>
      </c>
      <c r="N27" s="70">
        <v>7863</v>
      </c>
      <c r="O27" s="70">
        <v>7847</v>
      </c>
      <c r="P27" s="70">
        <v>7850</v>
      </c>
      <c r="Q27" s="70">
        <v>7729</v>
      </c>
      <c r="R27" s="70">
        <v>7877</v>
      </c>
      <c r="S27" s="70">
        <v>8166</v>
      </c>
      <c r="T27" s="70">
        <v>7921</v>
      </c>
      <c r="U27" s="70">
        <v>7749</v>
      </c>
      <c r="V27" s="70">
        <v>7745</v>
      </c>
      <c r="W27" s="70">
        <v>8696</v>
      </c>
    </row>
    <row r="28" spans="1:23" x14ac:dyDescent="0.2">
      <c r="A28" s="70">
        <v>1523</v>
      </c>
      <c r="B28" s="70">
        <v>7876</v>
      </c>
      <c r="C28" s="70">
        <v>7861</v>
      </c>
      <c r="D28" s="70">
        <v>7863</v>
      </c>
      <c r="E28" s="70">
        <v>7858</v>
      </c>
      <c r="F28" s="70">
        <v>7848</v>
      </c>
      <c r="G28" s="70">
        <v>7855</v>
      </c>
      <c r="H28" s="70">
        <v>7855</v>
      </c>
      <c r="I28" s="70">
        <v>7834</v>
      </c>
      <c r="J28" s="70">
        <v>7854</v>
      </c>
      <c r="K28" s="70">
        <v>7859</v>
      </c>
      <c r="L28" s="70">
        <v>7851</v>
      </c>
      <c r="M28" s="70">
        <v>7852</v>
      </c>
      <c r="N28" s="70">
        <v>7863</v>
      </c>
      <c r="O28" s="70">
        <v>7847</v>
      </c>
      <c r="P28" s="70">
        <v>7850</v>
      </c>
      <c r="Q28" s="70">
        <v>7729</v>
      </c>
      <c r="R28" s="70">
        <v>7877</v>
      </c>
      <c r="S28" s="70">
        <v>8166</v>
      </c>
      <c r="T28" s="70">
        <v>7921</v>
      </c>
      <c r="U28" s="70">
        <v>7749</v>
      </c>
      <c r="V28" s="70">
        <v>7745</v>
      </c>
      <c r="W28" s="70">
        <v>8696</v>
      </c>
    </row>
    <row r="29" spans="1:23" x14ac:dyDescent="0.2">
      <c r="A29" s="70">
        <v>1573</v>
      </c>
      <c r="B29" s="70">
        <v>7876</v>
      </c>
      <c r="C29" s="70">
        <v>7861</v>
      </c>
      <c r="D29" s="70">
        <v>7863</v>
      </c>
      <c r="E29" s="70">
        <v>7858</v>
      </c>
      <c r="F29" s="70">
        <v>7848</v>
      </c>
      <c r="G29" s="70">
        <v>7855</v>
      </c>
      <c r="H29" s="70">
        <v>7855</v>
      </c>
      <c r="I29" s="70">
        <v>7834</v>
      </c>
      <c r="J29" s="70">
        <v>7854</v>
      </c>
      <c r="K29" s="70">
        <v>7859</v>
      </c>
      <c r="L29" s="70">
        <v>7851</v>
      </c>
      <c r="M29" s="70">
        <v>7852</v>
      </c>
      <c r="N29" s="70">
        <v>7863</v>
      </c>
      <c r="O29" s="70">
        <v>7847</v>
      </c>
      <c r="P29" s="70">
        <v>7850</v>
      </c>
      <c r="Q29" s="70">
        <v>7729</v>
      </c>
      <c r="R29" s="70">
        <v>7877</v>
      </c>
      <c r="S29" s="70">
        <v>8166</v>
      </c>
      <c r="T29" s="70">
        <v>7921</v>
      </c>
      <c r="U29" s="70">
        <v>7749</v>
      </c>
      <c r="V29" s="70">
        <v>7745</v>
      </c>
      <c r="W29" s="70">
        <v>8696</v>
      </c>
    </row>
    <row r="30" spans="1:23" x14ac:dyDescent="0.2">
      <c r="A30" s="70">
        <v>1623</v>
      </c>
      <c r="B30" s="70">
        <v>7876</v>
      </c>
      <c r="C30" s="70">
        <v>7861</v>
      </c>
      <c r="D30" s="70">
        <v>7863</v>
      </c>
      <c r="E30" s="70">
        <v>7858</v>
      </c>
      <c r="F30" s="70">
        <v>7848</v>
      </c>
      <c r="G30" s="70">
        <v>7855</v>
      </c>
      <c r="H30" s="70">
        <v>7855</v>
      </c>
      <c r="I30" s="70">
        <v>7834</v>
      </c>
      <c r="J30" s="70">
        <v>7854</v>
      </c>
      <c r="K30" s="70">
        <v>7859</v>
      </c>
      <c r="L30" s="70">
        <v>7851</v>
      </c>
      <c r="M30" s="70">
        <v>7852</v>
      </c>
      <c r="N30" s="70">
        <v>7863</v>
      </c>
      <c r="O30" s="70">
        <v>7847</v>
      </c>
      <c r="P30" s="70">
        <v>7850</v>
      </c>
      <c r="Q30" s="70">
        <v>7729</v>
      </c>
      <c r="R30" s="70">
        <v>7877</v>
      </c>
      <c r="S30" s="70">
        <v>8166</v>
      </c>
      <c r="T30" s="70">
        <v>7921</v>
      </c>
      <c r="U30" s="70">
        <v>7749</v>
      </c>
      <c r="V30" s="70">
        <v>7745</v>
      </c>
      <c r="W30" s="70">
        <v>8696</v>
      </c>
    </row>
    <row r="31" spans="1:23" x14ac:dyDescent="0.2">
      <c r="A31" s="70">
        <v>3000</v>
      </c>
      <c r="B31" s="70">
        <f>B30</f>
        <v>7876</v>
      </c>
      <c r="C31" s="70">
        <f t="shared" ref="C31:W31" si="0">C30</f>
        <v>7861</v>
      </c>
      <c r="D31" s="70">
        <f t="shared" si="0"/>
        <v>7863</v>
      </c>
      <c r="E31" s="70">
        <f t="shared" si="0"/>
        <v>7858</v>
      </c>
      <c r="F31" s="70">
        <f t="shared" si="0"/>
        <v>7848</v>
      </c>
      <c r="G31" s="70">
        <f t="shared" si="0"/>
        <v>7855</v>
      </c>
      <c r="H31" s="70">
        <f t="shared" si="0"/>
        <v>7855</v>
      </c>
      <c r="I31" s="70">
        <f t="shared" si="0"/>
        <v>7834</v>
      </c>
      <c r="J31" s="70">
        <f t="shared" si="0"/>
        <v>7854</v>
      </c>
      <c r="K31" s="70">
        <f t="shared" si="0"/>
        <v>7859</v>
      </c>
      <c r="L31" s="70">
        <f t="shared" si="0"/>
        <v>7851</v>
      </c>
      <c r="M31" s="70">
        <f t="shared" si="0"/>
        <v>7852</v>
      </c>
      <c r="N31" s="70">
        <f t="shared" si="0"/>
        <v>7863</v>
      </c>
      <c r="O31" s="70">
        <f t="shared" si="0"/>
        <v>7847</v>
      </c>
      <c r="P31" s="70">
        <f t="shared" si="0"/>
        <v>7850</v>
      </c>
      <c r="Q31" s="70">
        <f t="shared" si="0"/>
        <v>7729</v>
      </c>
      <c r="R31" s="70">
        <f t="shared" si="0"/>
        <v>7877</v>
      </c>
      <c r="S31" s="70">
        <f t="shared" si="0"/>
        <v>8166</v>
      </c>
      <c r="T31" s="70">
        <f t="shared" si="0"/>
        <v>7921</v>
      </c>
      <c r="U31" s="70">
        <f t="shared" si="0"/>
        <v>7749</v>
      </c>
      <c r="V31" s="70">
        <f t="shared" si="0"/>
        <v>7745</v>
      </c>
      <c r="W31" s="70">
        <f t="shared" si="0"/>
        <v>8696</v>
      </c>
    </row>
  </sheetData>
  <phoneticPr fontId="1" type="noConversion"/>
  <pageMargins left="0.78740157499999996" right="0.78740157499999996" top="0.984251969" bottom="0.984251969" header="0.4921259845" footer="0.4921259845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24B76A6300504AA9BD832CB2CF227B" ma:contentTypeVersion="1" ma:contentTypeDescription="Crée un document." ma:contentTypeScope="" ma:versionID="e35aaeb83ca26eb17214c648e85ca056">
  <xsd:schema xmlns:xsd="http://www.w3.org/2001/XMLSchema" xmlns:p="http://schemas.microsoft.com/office/2006/metadata/properties" xmlns:ns2="ae7acf23-68da-4827-9469-6f5a7e636bbf" targetNamespace="http://schemas.microsoft.com/office/2006/metadata/properties" ma:root="true" ma:fieldsID="9592cef91e49a3772a2f9a0d3ee002bf" ns2:_="">
    <xsd:import namespace="ae7acf23-68da-4827-9469-6f5a7e636bbf"/>
    <xsd:element name="properties">
      <xsd:complexType>
        <xsd:sequence>
          <xsd:element name="documentManagement">
            <xsd:complexType>
              <xsd:all>
                <xsd:element ref="ns2:Version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ae7acf23-68da-4827-9469-6f5a7e636bbf" elementFormDefault="qualified">
    <xsd:import namespace="http://schemas.microsoft.com/office/2006/documentManagement/types"/>
    <xsd:element name="Versions" ma:index="8" nillable="true" ma:displayName="Versions" ma:default="no data" ma:description="On-line version of the program" ma:internalName="Versions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 ma:readOnly="true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Versions xmlns="ae7acf23-68da-4827-9469-6f5a7e636bbf">v4.2.1</Versions>
  </documentManagement>
</p:properties>
</file>

<file path=customXml/itemProps1.xml><?xml version="1.0" encoding="utf-8"?>
<ds:datastoreItem xmlns:ds="http://schemas.openxmlformats.org/officeDocument/2006/customXml" ds:itemID="{6DAE6B52-7536-4B43-B06C-4BC03206698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38D3C4-C158-4C25-888B-1AA6E3A287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7acf23-68da-4827-9469-6f5a7e636bbf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070A0810-D48F-444A-98CF-90F9D775BA5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ae7acf23-68da-4827-9469-6f5a7e636bb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27</vt:i4>
      </vt:variant>
      <vt:variant>
        <vt:lpstr>Plages nommées</vt:lpstr>
      </vt:variant>
      <vt:variant>
        <vt:i4>3</vt:i4>
      </vt:variant>
    </vt:vector>
  </HeadingPairs>
  <TitlesOfParts>
    <vt:vector size="30" baseType="lpstr">
      <vt:lpstr>WData</vt:lpstr>
      <vt:lpstr>texte</vt:lpstr>
      <vt:lpstr>basdo_gaz</vt:lpstr>
      <vt:lpstr>Recuperator_old</vt:lpstr>
      <vt:lpstr>Options</vt:lpstr>
      <vt:lpstr>BisraCo</vt:lpstr>
      <vt:lpstr>BisraRo</vt:lpstr>
      <vt:lpstr>BisraCp</vt:lpstr>
      <vt:lpstr>Bisrah</vt:lpstr>
      <vt:lpstr>BisraEps</vt:lpstr>
      <vt:lpstr>Comburants</vt:lpstr>
      <vt:lpstr>Fuels</vt:lpstr>
      <vt:lpstr>Files</vt:lpstr>
      <vt:lpstr>Prop_comb</vt:lpstr>
      <vt:lpstr>Hottel</vt:lpstr>
      <vt:lpstr>Mesh</vt:lpstr>
      <vt:lpstr>Solver</vt:lpstr>
      <vt:lpstr>Combustion</vt:lpstr>
      <vt:lpstr>Furnace design</vt:lpstr>
      <vt:lpstr>ResultsHEAT</vt:lpstr>
      <vt:lpstr>Results</vt:lpstr>
      <vt:lpstr>Recuperator</vt:lpstr>
      <vt:lpstr>data</vt:lpstr>
      <vt:lpstr>Enthalpie</vt:lpstr>
      <vt:lpstr>ChaleurMassique</vt:lpstr>
      <vt:lpstr>Conductivité</vt:lpstr>
      <vt:lpstr>MasseVolumique</vt:lpstr>
      <vt:lpstr>data!CP</vt:lpstr>
      <vt:lpstr>data!kw</vt:lpstr>
      <vt:lpstr>data!VdC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Vertical Radiant Tubes Furnace design</dc:title>
  <dc:creator>Propriétaire</dc:creator>
  <cp:lastModifiedBy>patrick dubois</cp:lastModifiedBy>
  <cp:lastPrinted>2007-02-08T17:01:55Z</cp:lastPrinted>
  <dcterms:created xsi:type="dcterms:W3CDTF">2006-01-03T12:45:56Z</dcterms:created>
  <dcterms:modified xsi:type="dcterms:W3CDTF">2026-04-02T14:36:35Z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0x0101004A24B76A6300504AA9BD832CB2CF227B</vt:lpwstr>
  </property>
</Properties>
</file>